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drawings/drawing6.xml" ContentType="application/vnd.openxmlformats-officedocument.drawing+xml"/>
  <Override PartName="/xl/ctrlProps/ctrlProp10.xml" ContentType="application/vnd.ms-excel.controlproperties+xml"/>
  <Override PartName="/xl/drawings/drawing7.xml" ContentType="application/vnd.openxmlformats-officedocument.drawing+xml"/>
  <Override PartName="/xl/ctrlProps/ctrlProp11.xml" ContentType="application/vnd.ms-excel.controlproperties+xml"/>
  <Override PartName="/xl/drawings/drawing8.xml" ContentType="application/vnd.openxmlformats-officedocument.drawing+xml"/>
  <Override PartName="/xl/ctrlProps/ctrlProp12.xml" ContentType="application/vnd.ms-excel.controlproperties+xml"/>
  <Override PartName="/xl/drawings/drawing9.xml" ContentType="application/vnd.openxmlformats-officedocument.drawing+xml"/>
  <Override PartName="/xl/ctrlProps/ctrlProp1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fmehm\Documents\Visual Studio 2015\Projects\ExcelScript\Resources\"/>
    </mc:Choice>
  </mc:AlternateContent>
  <bookViews>
    <workbookView xWindow="0" yWindow="0" windowWidth="38670" windowHeight="12195"/>
  </bookViews>
  <sheets>
    <sheet name="Eval" sheetId="1" r:id="rId1"/>
    <sheet name="Create and Run" sheetId="2" r:id="rId2"/>
    <sheet name="Parse" sheetId="8" r:id="rId3"/>
    <sheet name="Serialization" sheetId="7" r:id="rId4"/>
    <sheet name="Registration" sheetId="3" r:id="rId5"/>
    <sheet name="GUI - WinForms" sheetId="6" r:id="rId6"/>
    <sheet name="GUI - WPF" sheetId="5" r:id="rId7"/>
    <sheet name="Format Code" sheetId="9" r:id="rId8"/>
    <sheet name="ScriptOptions - Hosting" sheetId="4" r:id="rId9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2" i="9" l="1"/>
  <c r="F12" i="4"/>
  <c r="E12" i="4"/>
  <c r="D12" i="4"/>
  <c r="C12" i="4"/>
  <c r="B12" i="4"/>
  <c r="F11" i="4"/>
  <c r="E11" i="4"/>
  <c r="D11" i="4"/>
  <c r="C11" i="4"/>
  <c r="B11" i="4"/>
  <c r="B48" i="5"/>
  <c r="B48" i="6"/>
  <c r="E39" i="7"/>
  <c r="B39" i="7"/>
  <c r="E39" i="8"/>
  <c r="B39" i="8"/>
  <c r="B42" i="8"/>
  <c r="H39" i="2"/>
  <c r="H36" i="2"/>
  <c r="H35" i="2"/>
  <c r="E39" i="2"/>
  <c r="E36" i="2"/>
  <c r="E35" i="2"/>
  <c r="B39" i="2"/>
  <c r="B42" i="1"/>
  <c r="B51" i="5"/>
  <c r="B51" i="6"/>
  <c r="B47" i="7"/>
  <c r="H42" i="2"/>
  <c r="B39" i="3"/>
  <c r="B42" i="3"/>
  <c r="E7" i="7" l="1"/>
  <c r="F14" i="4"/>
  <c r="E14" i="4"/>
  <c r="D14" i="4"/>
  <c r="C14" i="4"/>
  <c r="B14" i="4"/>
  <c r="E42" i="7"/>
  <c r="E42" i="8"/>
  <c r="E42" i="2"/>
  <c r="B42" i="2"/>
</calcChain>
</file>

<file path=xl/sharedStrings.xml><?xml version="1.0" encoding="utf-8"?>
<sst xmlns="http://schemas.openxmlformats.org/spreadsheetml/2006/main" count="325" uniqueCount="196">
  <si>
    <t>Input</t>
  </si>
  <si>
    <t>Parameterless script</t>
  </si>
  <si>
    <t>Code</t>
  </si>
  <si>
    <t>Run</t>
  </si>
  <si>
    <t>{</t>
  </si>
  <si>
    <t>}</t>
  </si>
  <si>
    <t>/* Code from http://stackoverflow.com/questions/6435099/how-to-get-datetime-from-the-internet */</t>
  </si>
  <si>
    <t>try</t>
  </si>
  <si>
    <t>8.8.8.8</t>
  </si>
  <si>
    <r>
      <t xml:space="preserve">    </t>
    </r>
    <r>
      <rPr>
        <sz val="11"/>
        <color rgb="FF0000FF"/>
        <rFont val="Calibri"/>
        <family val="2"/>
        <scheme val="minor"/>
      </rPr>
      <t>else</t>
    </r>
  </si>
  <si>
    <t>Script Handle</t>
  </si>
  <si>
    <t>Script with parameters</t>
  </si>
  <si>
    <t>global</t>
  </si>
  <si>
    <t>Settings</t>
  </si>
  <si>
    <t>shared</t>
  </si>
  <si>
    <t>individual</t>
  </si>
  <si>
    <t xml:space="preserve">        xmlns=""http://schemas.microsoft.com/winfx/2006/xaml/presentation""</t>
  </si>
  <si>
    <t xml:space="preserve">        xmlns:x=""http://schemas.microsoft.com/winfx/2006/xaml""</t>
  </si>
  <si>
    <t xml:space="preserve">            &lt;Grid&gt;</t>
  </si>
  <si>
    <t xml:space="preserve">            &lt;TextBlock Text=""Hello there!""/&gt;</t>
  </si>
  <si>
    <t xml:space="preserve">         &lt;/Grid&gt;</t>
  </si>
  <si>
    <t xml:space="preserve">     &lt;/Window&gt;";</t>
  </si>
  <si>
    <t>Showing a WPF-based GUI</t>
  </si>
  <si>
    <t xml:space="preserve">    }</t>
  </si>
  <si>
    <t xml:space="preserve">        btn.Click += (s, e) =&gt; form.Close();</t>
  </si>
  <si>
    <t xml:space="preserve">        form.ShowDialog();</t>
  </si>
  <si>
    <r>
      <t>using</t>
    </r>
    <r>
      <rPr>
        <sz val="11"/>
        <color rgb="FF000000"/>
        <rFont val="Calibri"/>
        <family val="2"/>
        <scheme val="minor"/>
      </rPr>
      <t xml:space="preserve"> System.Windows.Forms;</t>
    </r>
  </si>
  <si>
    <r>
      <t xml:space="preserve">        </t>
    </r>
    <r>
      <rPr>
        <sz val="11"/>
        <color rgb="FF0000FF"/>
        <rFont val="Calibri"/>
        <family val="2"/>
        <scheme val="minor"/>
      </rPr>
      <t>return</t>
    </r>
    <r>
      <rPr>
        <sz val="11"/>
        <color rgb="FF000000"/>
        <rFont val="Calibri"/>
        <family val="2"/>
        <scheme val="minor"/>
      </rPr>
      <t xml:space="preserve"> tb.Text;</t>
    </r>
  </si>
  <si>
    <t xml:space="preserve">        Title=""WPF example window"" Height=""300"" Width=""300"" &gt;</t>
  </si>
  <si>
    <t>Serialize</t>
  </si>
  <si>
    <t>Compress?</t>
  </si>
  <si>
    <t>Serialize a script</t>
  </si>
  <si>
    <t>Deserialize a script</t>
  </si>
  <si>
    <t>The ExcelScript.Parse() function parses the script, and creates all object Handles automatically.</t>
  </si>
  <si>
    <t>This saves the hassle of creating Parameters with ExcelScript.Parameter.Create() individually.</t>
  </si>
  <si>
    <t>Parse script with 1 function</t>
  </si>
  <si>
    <t>Parse script with multiple functions (select entry point)</t>
  </si>
  <si>
    <r>
      <t>string</t>
    </r>
    <r>
      <rPr>
        <sz val="11"/>
        <color rgb="FF000000"/>
        <rFont val="Calibri"/>
        <family val="2"/>
        <scheme val="minor"/>
      </rPr>
      <t xml:space="preserve"> AnotherPingScript(</t>
    </r>
  </si>
  <si>
    <t>Hosting:</t>
  </si>
  <si>
    <t>If the script defines only one suitable method, this will be used to run the script. If the script defines more than one method however,</t>
  </si>
  <si>
    <t xml:space="preserve">                    ActiveWorkbook</t>
  </si>
  <si>
    <t>Hosting Options: AppDomains / Sandboxing</t>
  </si>
  <si>
    <t>It does not take any input parameters, and is not cached at all ( = will be re-evalutaed/compiled each time on invocation)</t>
  </si>
  <si>
    <t>ExcelScript.Create() allows to create a handle to a re-usable script. The script is cached in memory, and only re-compiled when needed.</t>
  </si>
  <si>
    <t>Excel.Run(Handle) can then be used to execute the script.</t>
  </si>
  <si>
    <t xml:space="preserve">The function returns a handle to the stored script. </t>
  </si>
  <si>
    <t>Parameter Definitions</t>
  </si>
  <si>
    <t>Run Script</t>
  </si>
  <si>
    <t>None.</t>
  </si>
  <si>
    <t>IpAddress =</t>
  </si>
  <si>
    <t>PingTimeout =</t>
  </si>
  <si>
    <t>Parse - Script Handle</t>
  </si>
  <si>
    <t>None needed; these will be parsed automatically.</t>
  </si>
  <si>
    <t xml:space="preserve"> </t>
  </si>
  <si>
    <t>Not necessary for the purpose of this demonstration</t>
  </si>
  <si>
    <t>Serialized data</t>
  </si>
  <si>
    <t>Deserialize script handle</t>
  </si>
  <si>
    <t>Register Function as UDF</t>
  </si>
  <si>
    <t>[ExcelFunction]</t>
  </si>
  <si>
    <t>Register a script</t>
  </si>
  <si>
    <t>In the below example, the script  can just be  called with AnotherPingScript() once it has been registered.</t>
  </si>
  <si>
    <r>
      <t>string</t>
    </r>
    <r>
      <rPr>
        <sz val="11"/>
        <color rgb="FF000000"/>
        <rFont val="Calibri"/>
        <family val="2"/>
        <scheme val="minor"/>
      </rPr>
      <t xml:space="preserve"> ShowWinFormsWindow()</t>
    </r>
  </si>
  <si>
    <r>
      <t xml:space="preserve">    </t>
    </r>
    <r>
      <rPr>
        <sz val="11"/>
        <color rgb="FF0000FF"/>
        <rFont val="Calibri"/>
        <family val="2"/>
        <scheme val="minor"/>
      </rPr>
      <t>var</t>
    </r>
    <r>
      <rPr>
        <sz val="11"/>
        <color rgb="FF000000"/>
        <rFont val="Calibri"/>
        <family val="2"/>
        <scheme val="minor"/>
      </rPr>
      <t xml:space="preserve"> userInput = OpenWindow();</t>
    </r>
  </si>
  <si>
    <t>Example of how you could display/open and interact with a WinForms-form.</t>
  </si>
  <si>
    <t>Note how we (have to) reference the System.Windows.Forms assembly with the #r directive.</t>
  </si>
  <si>
    <t>ExcelScript.Serialize() serializes a script to a string or directly into a file, which could be passed around / saved and later re-loaded.</t>
  </si>
  <si>
    <t>ExcelScript.Deserialize() deserializes data that was previously serialized with ExcelScript.Serialize().</t>
  </si>
  <si>
    <t>Demonstrates how scripts can be run in different hosting environments;</t>
  </si>
  <si>
    <t>"individual" creates a sepearate AppDomain for each script.</t>
  </si>
  <si>
    <t>"global" shares the same AppDomain with the ExcelScript-Addin, "shared" (default setting) shares one appdomain for all user scripts</t>
  </si>
  <si>
    <t>Showing a WinForms-based GUI</t>
  </si>
  <si>
    <t>Evaluate script</t>
  </si>
  <si>
    <t>ExcelScript.Register() registers a script as an UDF, so it can be called via its name direclty (no need to use ExcelScript.Run() anymore).</t>
  </si>
  <si>
    <t>ExcelScript.Parameter.Create() allows you to create input parameters to scripts. The handles to these parameters can be passed to</t>
  </si>
  <si>
    <t>ExcelScript.Create(). When invoking the script via ExcelScript.Run(), you can pass in values for these parameters, which are accessible</t>
  </si>
  <si>
    <t>in your script code under their defined names (e.g. Below "IpAddress" and "PingTimeout").</t>
  </si>
  <si>
    <t>Example of how you could display/open and interact with a WinForms-form. Note how we (have to) reference the 3 required</t>
  </si>
  <si>
    <t>assemblies with the #r directive. Also note how the form is opened in a non-modal mode while the script continues executing;</t>
  </si>
  <si>
    <t>this is the usual behavior with ExcelDna + WPF. You would have to explicitly implement modal behavior, if needed.</t>
  </si>
  <si>
    <t>Format C# code</t>
  </si>
  <si>
    <t>ExcelScript.FormatCode() takes a range as an input, and replaces the contents in this range with a formatted version of the code in that</t>
  </si>
  <si>
    <t>using System.Net.NetworkInformation;</t>
  </si>
  <si>
    <t>Call to ExcelScript.FormatCode()</t>
  </si>
  <si>
    <t>region. Please take care as your old range will be deleted (!), and then replaced by the formatted text. If you have automatic calculation</t>
  </si>
  <si>
    <t>enabled and FormatCode() points to a range you are working on, this will be formatted on the fly (can be performance intensive).</t>
  </si>
  <si>
    <t>if (reply != null)</t>
  </si>
  <si>
    <t>else</t>
  </si>
  <si>
    <t>Execute?</t>
  </si>
  <si>
    <t>string PingScript(string IpAddress, int PingTimeout) {</t>
  </si>
  <si>
    <t>PingReply reply = new Ping().Send(IpAddress, PingTimeout);</t>
  </si>
  <si>
    <t>return $"{DateTime.Now} - Status: {reply.Status} ({reply.RoundtripTime}ms) from {reply.Address}";</t>
  </si>
  <si>
    <t>None</t>
  </si>
  <si>
    <t>throw new InvalidOperationException(); }</t>
  </si>
  <si>
    <t>Evaluate code</t>
  </si>
  <si>
    <t>ExcelScript.Evaluate() is the simplest way to quickly run a script - it just directly evaluates the statement passed to it.</t>
  </si>
  <si>
    <t>SomeRange / SomeString =</t>
  </si>
  <si>
    <t>Please note it does currently not support ranges for return-type parameters.</t>
  </si>
  <si>
    <t>ExcelScript supports input parameters of type Range (NetOffice.ExcelApi.Range).</t>
  </si>
  <si>
    <t>the method that should be executed needs to be marked with an [ExcelFunction] attribute. Parameters of the function may be marked</t>
  </si>
  <si>
    <t xml:space="preserve"> with [ExcelAttribute]-attributes to specify descriptions (this would show up when registering the function with ExcelScript.Register())</t>
  </si>
  <si>
    <t>Support for Parameters of type "Range"</t>
  </si>
  <si>
    <t>// note how we have to declare this attribute, as otherwise the parser wouldn't know whether</t>
  </si>
  <si>
    <t>// to call AnotherPingScript() or GetReplyFor()</t>
  </si>
  <si>
    <r>
      <t>return</t>
    </r>
    <r>
      <rPr>
        <sz val="11"/>
        <color rgb="FF000000"/>
        <rFont val="Calibri"/>
        <family val="2"/>
        <scheme val="minor"/>
      </rPr>
      <t xml:space="preserve"> output.ToString();</t>
    </r>
  </si>
  <si>
    <t>The parameter definition will define if an input is considered as a Range, or as a value (or string) type</t>
  </si>
  <si>
    <t>Test</t>
  </si>
  <si>
    <t>Script globals automatically provide the variable "ActiveWorkbook" (of type NetOffice.ExcelApi.Workbook)</t>
  </si>
  <si>
    <r>
      <t>return</t>
    </r>
    <r>
      <rPr>
        <sz val="11"/>
        <color rgb="FF000000"/>
        <rFont val="Calibri"/>
        <family val="2"/>
        <scheme val="minor"/>
      </rPr>
      <t xml:space="preserve"> </t>
    </r>
    <r>
      <rPr>
        <sz val="11"/>
        <color rgb="FF8B0000"/>
        <rFont val="Calibri"/>
        <family val="2"/>
        <scheme val="minor"/>
      </rPr>
      <t>$"(</t>
    </r>
    <r>
      <rPr>
        <sz val="11"/>
        <color rgb="FF000000"/>
        <rFont val="Calibri"/>
        <family val="2"/>
        <scheme val="minor"/>
      </rPr>
      <t>{</t>
    </r>
    <r>
      <rPr>
        <sz val="11"/>
        <color rgb="FF20B2AA"/>
        <rFont val="Calibri"/>
        <family val="2"/>
        <scheme val="minor"/>
      </rPr>
      <t>DateTime</t>
    </r>
    <r>
      <rPr>
        <sz val="11"/>
        <color rgb="FF000000"/>
        <rFont val="Calibri"/>
        <family val="2"/>
        <scheme val="minor"/>
      </rPr>
      <t>.Now}</t>
    </r>
    <r>
      <rPr>
        <sz val="11"/>
        <color rgb="FF8B0000"/>
        <rFont val="Calibri"/>
        <family val="2"/>
        <scheme val="minor"/>
      </rPr>
      <t>) This workbook contains the following sheets: "</t>
    </r>
    <r>
      <rPr>
        <sz val="11"/>
        <color rgb="FF000000"/>
        <rFont val="Calibri"/>
        <family val="2"/>
        <scheme val="minor"/>
      </rPr>
      <t xml:space="preserve"> + </t>
    </r>
    <r>
      <rPr>
        <sz val="11"/>
        <color rgb="FF20B2AA"/>
        <rFont val="Calibri"/>
        <family val="2"/>
        <scheme val="minor"/>
      </rPr>
      <t>String</t>
    </r>
    <r>
      <rPr>
        <sz val="11"/>
        <color rgb="FF000000"/>
        <rFont val="Calibri"/>
        <family val="2"/>
        <scheme val="minor"/>
      </rPr>
      <t>.Join(</t>
    </r>
    <r>
      <rPr>
        <sz val="11"/>
        <color rgb="FF8B0000"/>
        <rFont val="Calibri"/>
        <family val="2"/>
        <scheme val="minor"/>
      </rPr>
      <t>", "</t>
    </r>
    <r>
      <rPr>
        <sz val="11"/>
        <color rgb="FF000000"/>
        <rFont val="Calibri"/>
        <family val="2"/>
        <scheme val="minor"/>
      </rPr>
      <t>,</t>
    </r>
  </si>
  <si>
    <t xml:space="preserve">                    .Worksheets</t>
  </si>
  <si>
    <r>
      <t xml:space="preserve">                    .Cast&lt;</t>
    </r>
    <r>
      <rPr>
        <sz val="11"/>
        <color rgb="FF20B2AA"/>
        <rFont val="Calibri"/>
        <family val="2"/>
        <scheme val="minor"/>
      </rPr>
      <t>Worksheet</t>
    </r>
    <r>
      <rPr>
        <sz val="11"/>
        <color rgb="FF000000"/>
        <rFont val="Calibri"/>
        <family val="2"/>
        <scheme val="minor"/>
      </rPr>
      <t>&gt;()</t>
    </r>
  </si>
  <si>
    <t xml:space="preserve">                    .Select(x =&gt; x.Name)</t>
  </si>
  <si>
    <r>
      <t xml:space="preserve">                    .Select(x =&gt; </t>
    </r>
    <r>
      <rPr>
        <sz val="11"/>
        <color rgb="FF8B0000"/>
        <rFont val="Calibri"/>
        <family val="2"/>
        <scheme val="minor"/>
      </rPr>
      <t>'"'</t>
    </r>
    <r>
      <rPr>
        <sz val="11"/>
        <color rgb="FF000000"/>
        <rFont val="Calibri"/>
        <family val="2"/>
        <scheme val="minor"/>
      </rPr>
      <t xml:space="preserve"> + x + </t>
    </r>
    <r>
      <rPr>
        <sz val="11"/>
        <color rgb="FF8B0000"/>
        <rFont val="Calibri"/>
        <family val="2"/>
        <scheme val="minor"/>
      </rPr>
      <t>'"'</t>
    </r>
    <r>
      <rPr>
        <sz val="11"/>
        <color rgb="FF000000"/>
        <rFont val="Calibri"/>
        <family val="2"/>
        <scheme val="minor"/>
      </rPr>
      <t>));</t>
    </r>
  </si>
  <si>
    <r>
      <t>using</t>
    </r>
    <r>
      <rPr>
        <sz val="11"/>
        <color rgb="FF000000"/>
        <rFont val="Calibri"/>
        <family val="2"/>
        <scheme val="minor"/>
      </rPr>
      <t xml:space="preserve"> System.Net;</t>
    </r>
  </si>
  <si>
    <r>
      <t>using</t>
    </r>
    <r>
      <rPr>
        <sz val="11"/>
        <color rgb="FF000000"/>
        <rFont val="Calibri"/>
        <family val="2"/>
        <scheme val="minor"/>
      </rPr>
      <t xml:space="preserve"> System.Net.Cache;</t>
    </r>
  </si>
  <si>
    <r>
      <t>using</t>
    </r>
    <r>
      <rPr>
        <sz val="11"/>
        <color rgb="FF000000"/>
        <rFont val="Calibri"/>
        <family val="2"/>
        <scheme val="minor"/>
      </rPr>
      <t xml:space="preserve"> System.IO;</t>
    </r>
  </si>
  <si>
    <r>
      <t>using</t>
    </r>
    <r>
      <rPr>
        <sz val="11"/>
        <color rgb="FF000000"/>
        <rFont val="Calibri"/>
        <family val="2"/>
        <scheme val="minor"/>
      </rPr>
      <t xml:space="preserve"> System.Text.RegularExpressions;</t>
    </r>
  </si>
  <si>
    <r>
      <t>DateTime</t>
    </r>
    <r>
      <rPr>
        <sz val="11"/>
        <color rgb="FF000000"/>
        <rFont val="Calibri"/>
        <family val="2"/>
        <scheme val="minor"/>
      </rPr>
      <t xml:space="preserve"> dateTime = </t>
    </r>
    <r>
      <rPr>
        <sz val="11"/>
        <color rgb="FF20B2AA"/>
        <rFont val="Calibri"/>
        <family val="2"/>
        <scheme val="minor"/>
      </rPr>
      <t>DateTime</t>
    </r>
    <r>
      <rPr>
        <sz val="11"/>
        <color rgb="FF000000"/>
        <rFont val="Calibri"/>
        <family val="2"/>
        <scheme val="minor"/>
      </rPr>
      <t>.MinValue;</t>
    </r>
  </si>
  <si>
    <r>
      <t>HttpWebRequest</t>
    </r>
    <r>
      <rPr>
        <sz val="11"/>
        <color rgb="FF000000"/>
        <rFont val="Calibri"/>
        <family val="2"/>
        <scheme val="minor"/>
      </rPr>
      <t xml:space="preserve"> request = (</t>
    </r>
    <r>
      <rPr>
        <sz val="11"/>
        <color rgb="FF20B2AA"/>
        <rFont val="Calibri"/>
        <family val="2"/>
        <scheme val="minor"/>
      </rPr>
      <t>HttpWebRequest</t>
    </r>
    <r>
      <rPr>
        <sz val="11"/>
        <color rgb="FF000000"/>
        <rFont val="Calibri"/>
        <family val="2"/>
        <scheme val="minor"/>
      </rPr>
      <t>)</t>
    </r>
    <r>
      <rPr>
        <sz val="11"/>
        <color rgb="FF20B2AA"/>
        <rFont val="Calibri"/>
        <family val="2"/>
        <scheme val="minor"/>
      </rPr>
      <t>WebRequest</t>
    </r>
    <r>
      <rPr>
        <sz val="11"/>
        <color rgb="FF000000"/>
        <rFont val="Calibri"/>
        <family val="2"/>
        <scheme val="minor"/>
      </rPr>
      <t>.Create(</t>
    </r>
    <r>
      <rPr>
        <sz val="11"/>
        <color rgb="FF8B0000"/>
        <rFont val="Calibri"/>
        <family val="2"/>
        <scheme val="minor"/>
      </rPr>
      <t>"http://nist.time.gov/actualtime.cgi?lzbc=siqm9b"</t>
    </r>
    <r>
      <rPr>
        <sz val="11"/>
        <color rgb="FF000000"/>
        <rFont val="Calibri"/>
        <family val="2"/>
        <scheme val="minor"/>
      </rPr>
      <t>);</t>
    </r>
  </si>
  <si>
    <r>
      <t xml:space="preserve">request.Method = </t>
    </r>
    <r>
      <rPr>
        <sz val="11"/>
        <color rgb="FF8B0000"/>
        <rFont val="Calibri"/>
        <family val="2"/>
        <scheme val="minor"/>
      </rPr>
      <t>"GET"</t>
    </r>
    <r>
      <rPr>
        <sz val="11"/>
        <color rgb="FF000000"/>
        <rFont val="Calibri"/>
        <family val="2"/>
        <scheme val="minor"/>
      </rPr>
      <t>;</t>
    </r>
  </si>
  <si>
    <r>
      <t xml:space="preserve">request.Accept = </t>
    </r>
    <r>
      <rPr>
        <sz val="11"/>
        <color rgb="FF8B0000"/>
        <rFont val="Calibri"/>
        <family val="2"/>
        <scheme val="minor"/>
      </rPr>
      <t>"text/html, application/xhtml+xml, */*"</t>
    </r>
    <r>
      <rPr>
        <sz val="11"/>
        <color rgb="FF000000"/>
        <rFont val="Calibri"/>
        <family val="2"/>
        <scheme val="minor"/>
      </rPr>
      <t>;</t>
    </r>
  </si>
  <si>
    <r>
      <t xml:space="preserve">request.UserAgent = </t>
    </r>
    <r>
      <rPr>
        <sz val="11"/>
        <color rgb="FF8B0000"/>
        <rFont val="Calibri"/>
        <family val="2"/>
        <scheme val="minor"/>
      </rPr>
      <t>"Mozilla/5.0 (compatible; MSIE 10.0; Windows NT 6.1; Trident/6.0)"</t>
    </r>
    <r>
      <rPr>
        <sz val="11"/>
        <color rgb="FF000000"/>
        <rFont val="Calibri"/>
        <family val="2"/>
        <scheme val="minor"/>
      </rPr>
      <t>;</t>
    </r>
  </si>
  <si>
    <r>
      <t xml:space="preserve">request.ContentType = </t>
    </r>
    <r>
      <rPr>
        <sz val="11"/>
        <color rgb="FF8B0000"/>
        <rFont val="Calibri"/>
        <family val="2"/>
        <scheme val="minor"/>
      </rPr>
      <t>"application/x-www-form-urlencoded"</t>
    </r>
    <r>
      <rPr>
        <sz val="11"/>
        <color rgb="FF000000"/>
        <rFont val="Calibri"/>
        <family val="2"/>
        <scheme val="minor"/>
      </rPr>
      <t>;</t>
    </r>
  </si>
  <si>
    <r>
      <t xml:space="preserve">request.CachePolicy = </t>
    </r>
    <r>
      <rPr>
        <sz val="11"/>
        <color rgb="FF0000FF"/>
        <rFont val="Calibri"/>
        <family val="2"/>
        <scheme val="minor"/>
      </rPr>
      <t>new</t>
    </r>
    <r>
      <rPr>
        <sz val="11"/>
        <color rgb="FF000000"/>
        <rFont val="Calibri"/>
        <family val="2"/>
        <scheme val="minor"/>
      </rPr>
      <t xml:space="preserve"> </t>
    </r>
    <r>
      <rPr>
        <sz val="11"/>
        <color rgb="FF20B2AA"/>
        <rFont val="Calibri"/>
        <family val="2"/>
        <scheme val="minor"/>
      </rPr>
      <t>RequestCachePolicy</t>
    </r>
    <r>
      <rPr>
        <sz val="11"/>
        <color rgb="FF000000"/>
        <rFont val="Calibri"/>
        <family val="2"/>
        <scheme val="minor"/>
      </rPr>
      <t>(</t>
    </r>
    <r>
      <rPr>
        <sz val="11"/>
        <color rgb="FF20B2AA"/>
        <rFont val="Calibri"/>
        <family val="2"/>
        <scheme val="minor"/>
      </rPr>
      <t>RequestCacheLevel</t>
    </r>
    <r>
      <rPr>
        <sz val="11"/>
        <color rgb="FF000000"/>
        <rFont val="Calibri"/>
        <family val="2"/>
        <scheme val="minor"/>
      </rPr>
      <t xml:space="preserve">.NoCacheNoStore); </t>
    </r>
    <r>
      <rPr>
        <sz val="11"/>
        <color rgb="FF008000"/>
        <rFont val="Calibri"/>
        <family val="2"/>
        <scheme val="minor"/>
      </rPr>
      <t>//No caching</t>
    </r>
  </si>
  <si>
    <r>
      <t>HttpWebResponse</t>
    </r>
    <r>
      <rPr>
        <sz val="11"/>
        <color rgb="FF000000"/>
        <rFont val="Calibri"/>
        <family val="2"/>
        <scheme val="minor"/>
      </rPr>
      <t xml:space="preserve"> response = (</t>
    </r>
    <r>
      <rPr>
        <sz val="11"/>
        <color rgb="FF20B2AA"/>
        <rFont val="Calibri"/>
        <family val="2"/>
        <scheme val="minor"/>
      </rPr>
      <t>HttpWebResponse</t>
    </r>
    <r>
      <rPr>
        <sz val="11"/>
        <color rgb="FF000000"/>
        <rFont val="Calibri"/>
        <family val="2"/>
        <scheme val="minor"/>
      </rPr>
      <t>)request.GetResponse();</t>
    </r>
  </si>
  <si>
    <r>
      <t>if</t>
    </r>
    <r>
      <rPr>
        <sz val="11"/>
        <color rgb="FF000000"/>
        <rFont val="Calibri"/>
        <family val="2"/>
        <scheme val="minor"/>
      </rPr>
      <t xml:space="preserve"> (response.StatusCode == </t>
    </r>
    <r>
      <rPr>
        <sz val="11"/>
        <color rgb="FF20B2AA"/>
        <rFont val="Calibri"/>
        <family val="2"/>
        <scheme val="minor"/>
      </rPr>
      <t>HttpStatusCode</t>
    </r>
    <r>
      <rPr>
        <sz val="11"/>
        <color rgb="FF000000"/>
        <rFont val="Calibri"/>
        <family val="2"/>
        <scheme val="minor"/>
      </rPr>
      <t>.OK)</t>
    </r>
  </si>
  <si>
    <r>
      <t xml:space="preserve">    </t>
    </r>
    <r>
      <rPr>
        <sz val="11"/>
        <color rgb="FF20B2AA"/>
        <rFont val="Calibri"/>
        <family val="2"/>
        <scheme val="minor"/>
      </rPr>
      <t>StreamReader</t>
    </r>
    <r>
      <rPr>
        <sz val="11"/>
        <color rgb="FF000000"/>
        <rFont val="Calibri"/>
        <family val="2"/>
        <scheme val="minor"/>
      </rPr>
      <t xml:space="preserve"> stream = </t>
    </r>
    <r>
      <rPr>
        <sz val="11"/>
        <color rgb="FF0000FF"/>
        <rFont val="Calibri"/>
        <family val="2"/>
        <scheme val="minor"/>
      </rPr>
      <t>new</t>
    </r>
    <r>
      <rPr>
        <sz val="11"/>
        <color rgb="FF000000"/>
        <rFont val="Calibri"/>
        <family val="2"/>
        <scheme val="minor"/>
      </rPr>
      <t xml:space="preserve"> </t>
    </r>
    <r>
      <rPr>
        <sz val="11"/>
        <color rgb="FF20B2AA"/>
        <rFont val="Calibri"/>
        <family val="2"/>
        <scheme val="minor"/>
      </rPr>
      <t>StreamReader</t>
    </r>
    <r>
      <rPr>
        <sz val="11"/>
        <color rgb="FF000000"/>
        <rFont val="Calibri"/>
        <family val="2"/>
        <scheme val="minor"/>
      </rPr>
      <t>(response.GetResponseStream());</t>
    </r>
  </si>
  <si>
    <r>
      <t xml:space="preserve">    </t>
    </r>
    <r>
      <rPr>
        <sz val="11"/>
        <color rgb="FF0000FF"/>
        <rFont val="Calibri"/>
        <family val="2"/>
        <scheme val="minor"/>
      </rPr>
      <t>string</t>
    </r>
    <r>
      <rPr>
        <sz val="11"/>
        <color rgb="FF000000"/>
        <rFont val="Calibri"/>
        <family val="2"/>
        <scheme val="minor"/>
      </rPr>
      <t xml:space="preserve"> html = stream.ReadToEnd();</t>
    </r>
    <r>
      <rPr>
        <sz val="11"/>
        <color rgb="FF008000"/>
        <rFont val="Calibri"/>
        <family val="2"/>
        <scheme val="minor"/>
      </rPr>
      <t>//&lt;timestamp time=\"1395772696469995\" delay=\"1395772696469995\"/&gt;</t>
    </r>
  </si>
  <si>
    <r>
      <t xml:space="preserve">    </t>
    </r>
    <r>
      <rPr>
        <sz val="11"/>
        <color rgb="FF0000FF"/>
        <rFont val="Calibri"/>
        <family val="2"/>
        <scheme val="minor"/>
      </rPr>
      <t>string</t>
    </r>
    <r>
      <rPr>
        <sz val="11"/>
        <color rgb="FF000000"/>
        <rFont val="Calibri"/>
        <family val="2"/>
        <scheme val="minor"/>
      </rPr>
      <t xml:space="preserve"> time = </t>
    </r>
    <r>
      <rPr>
        <sz val="11"/>
        <color rgb="FF20B2AA"/>
        <rFont val="Calibri"/>
        <family val="2"/>
        <scheme val="minor"/>
      </rPr>
      <t>Regex</t>
    </r>
    <r>
      <rPr>
        <sz val="11"/>
        <color rgb="FF000000"/>
        <rFont val="Calibri"/>
        <family val="2"/>
        <scheme val="minor"/>
      </rPr>
      <t xml:space="preserve">.Match(html, </t>
    </r>
    <r>
      <rPr>
        <sz val="11"/>
        <color rgb="FF8B0000"/>
        <rFont val="Calibri"/>
        <family val="2"/>
        <scheme val="minor"/>
      </rPr>
      <t>@"(?&lt;=\btime="")[^""]*"</t>
    </r>
    <r>
      <rPr>
        <sz val="11"/>
        <color rgb="FF000000"/>
        <rFont val="Calibri"/>
        <family val="2"/>
        <scheme val="minor"/>
      </rPr>
      <t>).Value;</t>
    </r>
  </si>
  <si>
    <r>
      <t xml:space="preserve">    </t>
    </r>
    <r>
      <rPr>
        <sz val="11"/>
        <color rgb="FF0000FF"/>
        <rFont val="Calibri"/>
        <family val="2"/>
        <scheme val="minor"/>
      </rPr>
      <t>double</t>
    </r>
    <r>
      <rPr>
        <sz val="11"/>
        <color rgb="FF000000"/>
        <rFont val="Calibri"/>
        <family val="2"/>
        <scheme val="minor"/>
      </rPr>
      <t xml:space="preserve"> milliseconds = </t>
    </r>
    <r>
      <rPr>
        <sz val="11"/>
        <color rgb="FF20B2AA"/>
        <rFont val="Calibri"/>
        <family val="2"/>
        <scheme val="minor"/>
      </rPr>
      <t>Convert</t>
    </r>
    <r>
      <rPr>
        <sz val="11"/>
        <color rgb="FF000000"/>
        <rFont val="Calibri"/>
        <family val="2"/>
        <scheme val="minor"/>
      </rPr>
      <t>.ToInt64(time) / 1000.0;</t>
    </r>
  </si>
  <si>
    <r>
      <t xml:space="preserve">    dateTime = </t>
    </r>
    <r>
      <rPr>
        <sz val="11"/>
        <color rgb="FF0000FF"/>
        <rFont val="Calibri"/>
        <family val="2"/>
        <scheme val="minor"/>
      </rPr>
      <t>new</t>
    </r>
    <r>
      <rPr>
        <sz val="11"/>
        <color rgb="FF000000"/>
        <rFont val="Calibri"/>
        <family val="2"/>
        <scheme val="minor"/>
      </rPr>
      <t xml:space="preserve"> </t>
    </r>
    <r>
      <rPr>
        <sz val="11"/>
        <color rgb="FF20B2AA"/>
        <rFont val="Calibri"/>
        <family val="2"/>
        <scheme val="minor"/>
      </rPr>
      <t>DateTime</t>
    </r>
    <r>
      <rPr>
        <sz val="11"/>
        <color rgb="FF000000"/>
        <rFont val="Calibri"/>
        <family val="2"/>
        <scheme val="minor"/>
      </rPr>
      <t>(1970, 1, 1).AddMilliseconds(milliseconds).ToLocalTime();</t>
    </r>
  </si>
  <si>
    <r>
      <t>return</t>
    </r>
    <r>
      <rPr>
        <sz val="11"/>
        <color rgb="FF000000"/>
        <rFont val="Calibri"/>
        <family val="2"/>
        <scheme val="minor"/>
      </rPr>
      <t xml:space="preserve"> dateTime.ToString();</t>
    </r>
  </si>
  <si>
    <r>
      <t>using</t>
    </r>
    <r>
      <rPr>
        <sz val="11"/>
        <color rgb="FF000000"/>
        <rFont val="Calibri"/>
        <family val="2"/>
        <scheme val="minor"/>
      </rPr>
      <t xml:space="preserve"> System.Net.NetworkInformation;</t>
    </r>
  </si>
  <si>
    <r>
      <t xml:space="preserve">    </t>
    </r>
    <r>
      <rPr>
        <sz val="11"/>
        <color rgb="FF008000"/>
        <rFont val="Calibri"/>
        <family val="2"/>
        <scheme val="minor"/>
      </rPr>
      <t>// Note that "IpAddress" and "PingTimeout" are parameters passed to this script</t>
    </r>
  </si>
  <si>
    <r>
      <t xml:space="preserve">    </t>
    </r>
    <r>
      <rPr>
        <sz val="11"/>
        <color rgb="FF20B2AA"/>
        <rFont val="Calibri"/>
        <family val="2"/>
        <scheme val="minor"/>
      </rPr>
      <t>PingReply</t>
    </r>
    <r>
      <rPr>
        <sz val="11"/>
        <color rgb="FF000000"/>
        <rFont val="Calibri"/>
        <family val="2"/>
        <scheme val="minor"/>
      </rPr>
      <t xml:space="preserve"> reply = </t>
    </r>
    <r>
      <rPr>
        <sz val="11"/>
        <color rgb="FF0000FF"/>
        <rFont val="Calibri"/>
        <family val="2"/>
        <scheme val="minor"/>
      </rPr>
      <t>new</t>
    </r>
    <r>
      <rPr>
        <sz val="11"/>
        <color rgb="FF000000"/>
        <rFont val="Calibri"/>
        <family val="2"/>
        <scheme val="minor"/>
      </rPr>
      <t xml:space="preserve"> </t>
    </r>
    <r>
      <rPr>
        <sz val="11"/>
        <color rgb="FF20B2AA"/>
        <rFont val="Calibri"/>
        <family val="2"/>
        <scheme val="minor"/>
      </rPr>
      <t>Ping</t>
    </r>
    <r>
      <rPr>
        <sz val="11"/>
        <color rgb="FF000000"/>
        <rFont val="Calibri"/>
        <family val="2"/>
        <scheme val="minor"/>
      </rPr>
      <t>().Send(IpAddress, PingTimeout);</t>
    </r>
  </si>
  <si>
    <r>
      <t xml:space="preserve">    </t>
    </r>
    <r>
      <rPr>
        <sz val="11"/>
        <color rgb="FF0000FF"/>
        <rFont val="Calibri"/>
        <family val="2"/>
        <scheme val="minor"/>
      </rPr>
      <t>if</t>
    </r>
    <r>
      <rPr>
        <sz val="11"/>
        <color rgb="FF000000"/>
        <rFont val="Calibri"/>
        <family val="2"/>
        <scheme val="minor"/>
      </rPr>
      <t xml:space="preserve"> (reply != </t>
    </r>
    <r>
      <rPr>
        <sz val="11"/>
        <color rgb="FF0000FF"/>
        <rFont val="Calibri"/>
        <family val="2"/>
        <scheme val="minor"/>
      </rPr>
      <t>null</t>
    </r>
    <r>
      <rPr>
        <sz val="11"/>
        <color rgb="FF000000"/>
        <rFont val="Calibri"/>
        <family val="2"/>
        <scheme val="minor"/>
      </rPr>
      <t>)</t>
    </r>
  </si>
  <si>
    <r>
      <t xml:space="preserve">        </t>
    </r>
    <r>
      <rPr>
        <sz val="11"/>
        <color rgb="FF0000FF"/>
        <rFont val="Calibri"/>
        <family val="2"/>
        <scheme val="minor"/>
      </rPr>
      <t>return</t>
    </r>
    <r>
      <rPr>
        <sz val="11"/>
        <color rgb="FF000000"/>
        <rFont val="Calibri"/>
        <family val="2"/>
        <scheme val="minor"/>
      </rPr>
      <t xml:space="preserve"> </t>
    </r>
    <r>
      <rPr>
        <sz val="11"/>
        <color rgb="FF8B0000"/>
        <rFont val="Calibri"/>
        <family val="2"/>
        <scheme val="minor"/>
      </rPr>
      <t>$"</t>
    </r>
    <r>
      <rPr>
        <sz val="11"/>
        <color rgb="FF000000"/>
        <rFont val="Calibri"/>
        <family val="2"/>
        <scheme val="minor"/>
      </rPr>
      <t>{</t>
    </r>
    <r>
      <rPr>
        <sz val="11"/>
        <color rgb="FF20B2AA"/>
        <rFont val="Calibri"/>
        <family val="2"/>
        <scheme val="minor"/>
      </rPr>
      <t>DateTime</t>
    </r>
    <r>
      <rPr>
        <sz val="11"/>
        <color rgb="FF000000"/>
        <rFont val="Calibri"/>
        <family val="2"/>
        <scheme val="minor"/>
      </rPr>
      <t>.Now}</t>
    </r>
    <r>
      <rPr>
        <sz val="11"/>
        <color rgb="FF8B0000"/>
        <rFont val="Calibri"/>
        <family val="2"/>
        <scheme val="minor"/>
      </rPr>
      <t xml:space="preserve"> - Status: </t>
    </r>
    <r>
      <rPr>
        <sz val="11"/>
        <color rgb="FF000000"/>
        <rFont val="Calibri"/>
        <family val="2"/>
        <scheme val="minor"/>
      </rPr>
      <t>{reply.Status}</t>
    </r>
    <r>
      <rPr>
        <sz val="11"/>
        <color rgb="FF8B0000"/>
        <rFont val="Calibri"/>
        <family val="2"/>
        <scheme val="minor"/>
      </rPr>
      <t xml:space="preserve"> (</t>
    </r>
    <r>
      <rPr>
        <sz val="11"/>
        <color rgb="FF000000"/>
        <rFont val="Calibri"/>
        <family val="2"/>
        <scheme val="minor"/>
      </rPr>
      <t>{reply.RoundtripTime}</t>
    </r>
    <r>
      <rPr>
        <sz val="11"/>
        <color rgb="FF8B0000"/>
        <rFont val="Calibri"/>
        <family val="2"/>
        <scheme val="minor"/>
      </rPr>
      <t xml:space="preserve">ms) from </t>
    </r>
    <r>
      <rPr>
        <sz val="11"/>
        <color rgb="FF000000"/>
        <rFont val="Calibri"/>
        <family val="2"/>
        <scheme val="minor"/>
      </rPr>
      <t>{reply.Address}</t>
    </r>
    <r>
      <rPr>
        <sz val="11"/>
        <color rgb="FF8B0000"/>
        <rFont val="Calibri"/>
        <family val="2"/>
        <scheme val="minor"/>
      </rPr>
      <t>"</t>
    </r>
    <r>
      <rPr>
        <sz val="11"/>
        <color rgb="FF000000"/>
        <rFont val="Calibri"/>
        <family val="2"/>
        <scheme val="minor"/>
      </rPr>
      <t>;</t>
    </r>
  </si>
  <si>
    <r>
      <t xml:space="preserve">        </t>
    </r>
    <r>
      <rPr>
        <sz val="11"/>
        <color rgb="FF0000FF"/>
        <rFont val="Calibri"/>
        <family val="2"/>
        <scheme val="minor"/>
      </rPr>
      <t>throw</t>
    </r>
    <r>
      <rPr>
        <sz val="11"/>
        <color rgb="FF000000"/>
        <rFont val="Calibri"/>
        <family val="2"/>
        <scheme val="minor"/>
      </rPr>
      <t xml:space="preserve"> </t>
    </r>
    <r>
      <rPr>
        <sz val="11"/>
        <color rgb="FF0000FF"/>
        <rFont val="Calibri"/>
        <family val="2"/>
        <scheme val="minor"/>
      </rPr>
      <t>new</t>
    </r>
    <r>
      <rPr>
        <sz val="11"/>
        <color rgb="FF000000"/>
        <rFont val="Calibri"/>
        <family val="2"/>
        <scheme val="minor"/>
      </rPr>
      <t xml:space="preserve"> </t>
    </r>
    <r>
      <rPr>
        <sz val="11"/>
        <color rgb="FF20B2AA"/>
        <rFont val="Calibri"/>
        <family val="2"/>
        <scheme val="minor"/>
      </rPr>
      <t>InvalidOperationException</t>
    </r>
    <r>
      <rPr>
        <sz val="11"/>
        <color rgb="FF000000"/>
        <rFont val="Calibri"/>
        <family val="2"/>
        <scheme val="minor"/>
      </rPr>
      <t>();</t>
    </r>
  </si>
  <si>
    <r>
      <t>catch</t>
    </r>
    <r>
      <rPr>
        <sz val="11"/>
        <color rgb="FF000000"/>
        <rFont val="Calibri"/>
        <family val="2"/>
        <scheme val="minor"/>
      </rPr>
      <t xml:space="preserve"> (</t>
    </r>
    <r>
      <rPr>
        <sz val="11"/>
        <color rgb="FF20B2AA"/>
        <rFont val="Calibri"/>
        <family val="2"/>
        <scheme val="minor"/>
      </rPr>
      <t>TimeoutException</t>
    </r>
    <r>
      <rPr>
        <sz val="11"/>
        <color rgb="FF000000"/>
        <rFont val="Calibri"/>
        <family val="2"/>
        <scheme val="minor"/>
      </rPr>
      <t xml:space="preserve"> ex)</t>
    </r>
  </si>
  <si>
    <r>
      <t xml:space="preserve">    </t>
    </r>
    <r>
      <rPr>
        <sz val="11"/>
        <color rgb="FF0000FF"/>
        <rFont val="Calibri"/>
        <family val="2"/>
        <scheme val="minor"/>
      </rPr>
      <t>return</t>
    </r>
    <r>
      <rPr>
        <sz val="11"/>
        <color rgb="FF000000"/>
        <rFont val="Calibri"/>
        <family val="2"/>
        <scheme val="minor"/>
      </rPr>
      <t xml:space="preserve"> </t>
    </r>
    <r>
      <rPr>
        <sz val="11"/>
        <color rgb="FF8B0000"/>
        <rFont val="Calibri"/>
        <family val="2"/>
        <scheme val="minor"/>
      </rPr>
      <t>"Timed out"</t>
    </r>
    <r>
      <rPr>
        <sz val="11"/>
        <color rgb="FF000000"/>
        <rFont val="Calibri"/>
        <family val="2"/>
        <scheme val="minor"/>
      </rPr>
      <t>;</t>
    </r>
  </si>
  <si>
    <r>
      <t>using</t>
    </r>
    <r>
      <rPr>
        <sz val="11"/>
        <color rgb="FF000000"/>
        <rFont val="Calibri"/>
        <family val="2"/>
        <scheme val="minor"/>
      </rPr>
      <t xml:space="preserve"> System.Text;</t>
    </r>
  </si>
  <si>
    <r>
      <t>var</t>
    </r>
    <r>
      <rPr>
        <sz val="11"/>
        <color rgb="FF000000"/>
        <rFont val="Calibri"/>
        <family val="2"/>
        <scheme val="minor"/>
      </rPr>
      <t xml:space="preserve"> output = </t>
    </r>
    <r>
      <rPr>
        <sz val="11"/>
        <color rgb="FF0000FF"/>
        <rFont val="Calibri"/>
        <family val="2"/>
        <scheme val="minor"/>
      </rPr>
      <t>new</t>
    </r>
    <r>
      <rPr>
        <sz val="11"/>
        <color rgb="FF000000"/>
        <rFont val="Calibri"/>
        <family val="2"/>
        <scheme val="minor"/>
      </rPr>
      <t xml:space="preserve"> </t>
    </r>
    <r>
      <rPr>
        <sz val="11"/>
        <color rgb="FF20B2AA"/>
        <rFont val="Calibri"/>
        <family val="2"/>
        <scheme val="minor"/>
      </rPr>
      <t>StringBuilder</t>
    </r>
    <r>
      <rPr>
        <sz val="11"/>
        <color rgb="FF000000"/>
        <rFont val="Calibri"/>
        <family val="2"/>
        <scheme val="minor"/>
      </rPr>
      <t>();</t>
    </r>
  </si>
  <si>
    <r>
      <t>output.Append(</t>
    </r>
    <r>
      <rPr>
        <sz val="11"/>
        <color rgb="FF8B0000"/>
        <rFont val="Calibri"/>
        <family val="2"/>
        <scheme val="minor"/>
      </rPr>
      <t>"SomeString"</t>
    </r>
    <r>
      <rPr>
        <sz val="11"/>
        <color rgb="FF000000"/>
        <rFont val="Calibri"/>
        <family val="2"/>
        <scheme val="minor"/>
      </rPr>
      <t>);</t>
    </r>
  </si>
  <si>
    <r>
      <t>output.Append(</t>
    </r>
    <r>
      <rPr>
        <sz val="11"/>
        <color rgb="FF8B0000"/>
        <rFont val="Calibri"/>
        <family val="2"/>
        <scheme val="minor"/>
      </rPr>
      <t xml:space="preserve">$" value = </t>
    </r>
    <r>
      <rPr>
        <sz val="11"/>
        <color rgb="FF000000"/>
        <rFont val="Calibri"/>
        <family val="2"/>
        <scheme val="minor"/>
      </rPr>
      <t>{SomeString}</t>
    </r>
    <r>
      <rPr>
        <sz val="11"/>
        <color rgb="FF8B0000"/>
        <rFont val="Calibri"/>
        <family val="2"/>
        <scheme val="minor"/>
      </rPr>
      <t>"</t>
    </r>
    <r>
      <rPr>
        <sz val="11"/>
        <color rgb="FF000000"/>
        <rFont val="Calibri"/>
        <family val="2"/>
        <scheme val="minor"/>
      </rPr>
      <t>);</t>
    </r>
  </si>
  <si>
    <r>
      <t>output.Append(</t>
    </r>
    <r>
      <rPr>
        <sz val="11"/>
        <color rgb="FF8B0000"/>
        <rFont val="Calibri"/>
        <family val="2"/>
        <scheme val="minor"/>
      </rPr>
      <t xml:space="preserve">$" type = </t>
    </r>
    <r>
      <rPr>
        <sz val="11"/>
        <color rgb="FF000000"/>
        <rFont val="Calibri"/>
        <family val="2"/>
        <scheme val="minor"/>
      </rPr>
      <t>{SomeString.GetType()}</t>
    </r>
    <r>
      <rPr>
        <sz val="11"/>
        <color rgb="FF8B0000"/>
        <rFont val="Calibri"/>
        <family val="2"/>
        <scheme val="minor"/>
      </rPr>
      <t>"</t>
    </r>
    <r>
      <rPr>
        <sz val="11"/>
        <color rgb="FF000000"/>
        <rFont val="Calibri"/>
        <family val="2"/>
        <scheme val="minor"/>
      </rPr>
      <t>);</t>
    </r>
  </si>
  <si>
    <r>
      <t>output.Append(</t>
    </r>
    <r>
      <rPr>
        <sz val="11"/>
        <color rgb="FF8B0000"/>
        <rFont val="Calibri"/>
        <family val="2"/>
        <scheme val="minor"/>
      </rPr>
      <t>"  -  "</t>
    </r>
    <r>
      <rPr>
        <sz val="11"/>
        <color rgb="FF000000"/>
        <rFont val="Calibri"/>
        <family val="2"/>
        <scheme val="minor"/>
      </rPr>
      <t>);</t>
    </r>
  </si>
  <si>
    <r>
      <t>output.Append(</t>
    </r>
    <r>
      <rPr>
        <sz val="11"/>
        <color rgb="FF8B0000"/>
        <rFont val="Calibri"/>
        <family val="2"/>
        <scheme val="minor"/>
      </rPr>
      <t>"SomeRange"</t>
    </r>
    <r>
      <rPr>
        <sz val="11"/>
        <color rgb="FF000000"/>
        <rFont val="Calibri"/>
        <family val="2"/>
        <scheme val="minor"/>
      </rPr>
      <t>);</t>
    </r>
  </si>
  <si>
    <r>
      <t>output.Append(</t>
    </r>
    <r>
      <rPr>
        <sz val="11"/>
        <color rgb="FF8B0000"/>
        <rFont val="Calibri"/>
        <family val="2"/>
        <scheme val="minor"/>
      </rPr>
      <t xml:space="preserve">$" address = </t>
    </r>
    <r>
      <rPr>
        <sz val="11"/>
        <color rgb="FF000000"/>
        <rFont val="Calibri"/>
        <family val="2"/>
        <scheme val="minor"/>
      </rPr>
      <t>{SomeRange.Address}</t>
    </r>
    <r>
      <rPr>
        <sz val="11"/>
        <color rgb="FF8B0000"/>
        <rFont val="Calibri"/>
        <family val="2"/>
        <scheme val="minor"/>
      </rPr>
      <t>"</t>
    </r>
    <r>
      <rPr>
        <sz val="11"/>
        <color rgb="FF000000"/>
        <rFont val="Calibri"/>
        <family val="2"/>
        <scheme val="minor"/>
      </rPr>
      <t>);</t>
    </r>
  </si>
  <si>
    <r>
      <t>output.Append(</t>
    </r>
    <r>
      <rPr>
        <sz val="11"/>
        <color rgb="FF8B0000"/>
        <rFont val="Calibri"/>
        <family val="2"/>
        <scheme val="minor"/>
      </rPr>
      <t xml:space="preserve">$" value = </t>
    </r>
    <r>
      <rPr>
        <sz val="11"/>
        <color rgb="FF000000"/>
        <rFont val="Calibri"/>
        <family val="2"/>
        <scheme val="minor"/>
      </rPr>
      <t>{SomeRange.Value}</t>
    </r>
    <r>
      <rPr>
        <sz val="11"/>
        <color rgb="FF8B0000"/>
        <rFont val="Calibri"/>
        <family val="2"/>
        <scheme val="minor"/>
      </rPr>
      <t>"</t>
    </r>
    <r>
      <rPr>
        <sz val="11"/>
        <color rgb="FF000000"/>
        <rFont val="Calibri"/>
        <family val="2"/>
        <scheme val="minor"/>
      </rPr>
      <t>);</t>
    </r>
  </si>
  <si>
    <r>
      <t>output.Append(</t>
    </r>
    <r>
      <rPr>
        <sz val="11"/>
        <color rgb="FF8B0000"/>
        <rFont val="Calibri"/>
        <family val="2"/>
        <scheme val="minor"/>
      </rPr>
      <t xml:space="preserve">$" type = </t>
    </r>
    <r>
      <rPr>
        <sz val="11"/>
        <color rgb="FF000000"/>
        <rFont val="Calibri"/>
        <family val="2"/>
        <scheme val="minor"/>
      </rPr>
      <t>{SomeRange.GetType()}</t>
    </r>
    <r>
      <rPr>
        <sz val="11"/>
        <color rgb="FF8B0000"/>
        <rFont val="Calibri"/>
        <family val="2"/>
        <scheme val="minor"/>
      </rPr>
      <t>"</t>
    </r>
    <r>
      <rPr>
        <sz val="11"/>
        <color rgb="FF000000"/>
        <rFont val="Calibri"/>
        <family val="2"/>
        <scheme val="minor"/>
      </rPr>
      <t>);</t>
    </r>
  </si>
  <si>
    <r>
      <t>string</t>
    </r>
    <r>
      <rPr>
        <sz val="11"/>
        <color rgb="FF000000"/>
        <rFont val="Calibri"/>
        <family val="2"/>
        <scheme val="minor"/>
      </rPr>
      <t xml:space="preserve"> ParsedRangeScript(</t>
    </r>
    <r>
      <rPr>
        <sz val="11"/>
        <color rgb="FF0000FF"/>
        <rFont val="Calibri"/>
        <family val="2"/>
        <scheme val="minor"/>
      </rPr>
      <t>string</t>
    </r>
    <r>
      <rPr>
        <sz val="11"/>
        <color rgb="FF000000"/>
        <rFont val="Calibri"/>
        <family val="2"/>
        <scheme val="minor"/>
      </rPr>
      <t xml:space="preserve"> SomeString, </t>
    </r>
    <r>
      <rPr>
        <sz val="11"/>
        <color rgb="FF20B2AA"/>
        <rFont val="Calibri"/>
        <family val="2"/>
        <scheme val="minor"/>
      </rPr>
      <t>Range</t>
    </r>
    <r>
      <rPr>
        <sz val="11"/>
        <color rgb="FF000000"/>
        <rFont val="Calibri"/>
        <family val="2"/>
        <scheme val="minor"/>
      </rPr>
      <t xml:space="preserve"> SomeRange)</t>
    </r>
  </si>
  <si>
    <r>
      <t xml:space="preserve">    </t>
    </r>
    <r>
      <rPr>
        <sz val="11"/>
        <color rgb="FF0000FF"/>
        <rFont val="Calibri"/>
        <family val="2"/>
        <scheme val="minor"/>
      </rPr>
      <t>var</t>
    </r>
    <r>
      <rPr>
        <sz val="11"/>
        <color rgb="FF000000"/>
        <rFont val="Calibri"/>
        <family val="2"/>
        <scheme val="minor"/>
      </rPr>
      <t xml:space="preserve"> output = </t>
    </r>
    <r>
      <rPr>
        <sz val="11"/>
        <color rgb="FF0000FF"/>
        <rFont val="Calibri"/>
        <family val="2"/>
        <scheme val="minor"/>
      </rPr>
      <t>new</t>
    </r>
    <r>
      <rPr>
        <sz val="11"/>
        <color rgb="FF000000"/>
        <rFont val="Calibri"/>
        <family val="2"/>
        <scheme val="minor"/>
      </rPr>
      <t xml:space="preserve"> </t>
    </r>
    <r>
      <rPr>
        <sz val="11"/>
        <color rgb="FF20B2AA"/>
        <rFont val="Calibri"/>
        <family val="2"/>
        <scheme val="minor"/>
      </rPr>
      <t>StringBuilder</t>
    </r>
    <r>
      <rPr>
        <sz val="11"/>
        <color rgb="FF000000"/>
        <rFont val="Calibri"/>
        <family val="2"/>
        <scheme val="minor"/>
      </rPr>
      <t>();</t>
    </r>
  </si>
  <si>
    <r>
      <t xml:space="preserve">    output.Append(</t>
    </r>
    <r>
      <rPr>
        <sz val="11"/>
        <color rgb="FF8B0000"/>
        <rFont val="Calibri"/>
        <family val="2"/>
        <scheme val="minor"/>
      </rPr>
      <t>"SomeString"</t>
    </r>
    <r>
      <rPr>
        <sz val="11"/>
        <color rgb="FF000000"/>
        <rFont val="Calibri"/>
        <family val="2"/>
        <scheme val="minor"/>
      </rPr>
      <t>);</t>
    </r>
  </si>
  <si>
    <r>
      <t xml:space="preserve">    output.Append(</t>
    </r>
    <r>
      <rPr>
        <sz val="11"/>
        <color rgb="FF8B0000"/>
        <rFont val="Calibri"/>
        <family val="2"/>
        <scheme val="minor"/>
      </rPr>
      <t xml:space="preserve">$" value = </t>
    </r>
    <r>
      <rPr>
        <sz val="11"/>
        <color rgb="FF000000"/>
        <rFont val="Calibri"/>
        <family val="2"/>
        <scheme val="minor"/>
      </rPr>
      <t>{SomeString}</t>
    </r>
    <r>
      <rPr>
        <sz val="11"/>
        <color rgb="FF8B0000"/>
        <rFont val="Calibri"/>
        <family val="2"/>
        <scheme val="minor"/>
      </rPr>
      <t>"</t>
    </r>
    <r>
      <rPr>
        <sz val="11"/>
        <color rgb="FF000000"/>
        <rFont val="Calibri"/>
        <family val="2"/>
        <scheme val="minor"/>
      </rPr>
      <t>);</t>
    </r>
  </si>
  <si>
    <r>
      <t xml:space="preserve">    output.Append(</t>
    </r>
    <r>
      <rPr>
        <sz val="11"/>
        <color rgb="FF8B0000"/>
        <rFont val="Calibri"/>
        <family val="2"/>
        <scheme val="minor"/>
      </rPr>
      <t xml:space="preserve">$" type = </t>
    </r>
    <r>
      <rPr>
        <sz val="11"/>
        <color rgb="FF000000"/>
        <rFont val="Calibri"/>
        <family val="2"/>
        <scheme val="minor"/>
      </rPr>
      <t>{SomeString.GetType()}</t>
    </r>
    <r>
      <rPr>
        <sz val="11"/>
        <color rgb="FF8B0000"/>
        <rFont val="Calibri"/>
        <family val="2"/>
        <scheme val="minor"/>
      </rPr>
      <t>"</t>
    </r>
    <r>
      <rPr>
        <sz val="11"/>
        <color rgb="FF000000"/>
        <rFont val="Calibri"/>
        <family val="2"/>
        <scheme val="minor"/>
      </rPr>
      <t>);</t>
    </r>
  </si>
  <si>
    <r>
      <t xml:space="preserve">    output.Append(</t>
    </r>
    <r>
      <rPr>
        <sz val="11"/>
        <color rgb="FF8B0000"/>
        <rFont val="Calibri"/>
        <family val="2"/>
        <scheme val="minor"/>
      </rPr>
      <t>"  -  "</t>
    </r>
    <r>
      <rPr>
        <sz val="11"/>
        <color rgb="FF000000"/>
        <rFont val="Calibri"/>
        <family val="2"/>
        <scheme val="minor"/>
      </rPr>
      <t>);</t>
    </r>
  </si>
  <si>
    <r>
      <t xml:space="preserve">    output.Append(</t>
    </r>
    <r>
      <rPr>
        <sz val="11"/>
        <color rgb="FF8B0000"/>
        <rFont val="Calibri"/>
        <family val="2"/>
        <scheme val="minor"/>
      </rPr>
      <t>"SomeRange"</t>
    </r>
    <r>
      <rPr>
        <sz val="11"/>
        <color rgb="FF000000"/>
        <rFont val="Calibri"/>
        <family val="2"/>
        <scheme val="minor"/>
      </rPr>
      <t>);</t>
    </r>
  </si>
  <si>
    <r>
      <t xml:space="preserve">    output.Append(</t>
    </r>
    <r>
      <rPr>
        <sz val="11"/>
        <color rgb="FF8B0000"/>
        <rFont val="Calibri"/>
        <family val="2"/>
        <scheme val="minor"/>
      </rPr>
      <t xml:space="preserve">$" address = </t>
    </r>
    <r>
      <rPr>
        <sz val="11"/>
        <color rgb="FF000000"/>
        <rFont val="Calibri"/>
        <family val="2"/>
        <scheme val="minor"/>
      </rPr>
      <t>{SomeRange.Address}</t>
    </r>
    <r>
      <rPr>
        <sz val="11"/>
        <color rgb="FF8B0000"/>
        <rFont val="Calibri"/>
        <family val="2"/>
        <scheme val="minor"/>
      </rPr>
      <t>"</t>
    </r>
    <r>
      <rPr>
        <sz val="11"/>
        <color rgb="FF000000"/>
        <rFont val="Calibri"/>
        <family val="2"/>
        <scheme val="minor"/>
      </rPr>
      <t>);</t>
    </r>
  </si>
  <si>
    <r>
      <t xml:space="preserve">    output.Append(</t>
    </r>
    <r>
      <rPr>
        <sz val="11"/>
        <color rgb="FF8B0000"/>
        <rFont val="Calibri"/>
        <family val="2"/>
        <scheme val="minor"/>
      </rPr>
      <t xml:space="preserve">$" value = </t>
    </r>
    <r>
      <rPr>
        <sz val="11"/>
        <color rgb="FF000000"/>
        <rFont val="Calibri"/>
        <family val="2"/>
        <scheme val="minor"/>
      </rPr>
      <t>{SomeRange.Value}</t>
    </r>
    <r>
      <rPr>
        <sz val="11"/>
        <color rgb="FF8B0000"/>
        <rFont val="Calibri"/>
        <family val="2"/>
        <scheme val="minor"/>
      </rPr>
      <t>"</t>
    </r>
    <r>
      <rPr>
        <sz val="11"/>
        <color rgb="FF000000"/>
        <rFont val="Calibri"/>
        <family val="2"/>
        <scheme val="minor"/>
      </rPr>
      <t>);</t>
    </r>
  </si>
  <si>
    <r>
      <t xml:space="preserve">    output.Append(</t>
    </r>
    <r>
      <rPr>
        <sz val="11"/>
        <color rgb="FF8B0000"/>
        <rFont val="Calibri"/>
        <family val="2"/>
        <scheme val="minor"/>
      </rPr>
      <t xml:space="preserve">$" type = </t>
    </r>
    <r>
      <rPr>
        <sz val="11"/>
        <color rgb="FF000000"/>
        <rFont val="Calibri"/>
        <family val="2"/>
        <scheme val="minor"/>
      </rPr>
      <t>{SomeRange.GetType()}</t>
    </r>
    <r>
      <rPr>
        <sz val="11"/>
        <color rgb="FF8B0000"/>
        <rFont val="Calibri"/>
        <family val="2"/>
        <scheme val="minor"/>
      </rPr>
      <t>"</t>
    </r>
    <r>
      <rPr>
        <sz val="11"/>
        <color rgb="FF000000"/>
        <rFont val="Calibri"/>
        <family val="2"/>
        <scheme val="minor"/>
      </rPr>
      <t>);</t>
    </r>
  </si>
  <si>
    <r>
      <t xml:space="preserve">    </t>
    </r>
    <r>
      <rPr>
        <sz val="11"/>
        <color rgb="FF0000FF"/>
        <rFont val="Calibri"/>
        <family val="2"/>
        <scheme val="minor"/>
      </rPr>
      <t>return</t>
    </r>
    <r>
      <rPr>
        <sz val="11"/>
        <color rgb="FF000000"/>
        <rFont val="Calibri"/>
        <family val="2"/>
        <scheme val="minor"/>
      </rPr>
      <t xml:space="preserve"> output.ToString();</t>
    </r>
  </si>
  <si>
    <r>
      <t xml:space="preserve">    [ExcelArgument(Description = </t>
    </r>
    <r>
      <rPr>
        <sz val="11"/>
        <color rgb="FF8B0000"/>
        <rFont val="Calibri"/>
        <family val="2"/>
        <scheme val="minor"/>
      </rPr>
      <t>"The address to ping"</t>
    </r>
    <r>
      <rPr>
        <sz val="11"/>
        <color rgb="FF000000"/>
        <rFont val="Calibri"/>
        <family val="2"/>
        <scheme val="minor"/>
      </rPr>
      <t xml:space="preserve">)] </t>
    </r>
    <r>
      <rPr>
        <sz val="11"/>
        <color rgb="FF0000FF"/>
        <rFont val="Calibri"/>
        <family val="2"/>
        <scheme val="minor"/>
      </rPr>
      <t>string</t>
    </r>
    <r>
      <rPr>
        <sz val="11"/>
        <color rgb="FF000000"/>
        <rFont val="Calibri"/>
        <family val="2"/>
        <scheme val="minor"/>
      </rPr>
      <t xml:space="preserve"> IpAddress,</t>
    </r>
  </si>
  <si>
    <r>
      <t xml:space="preserve">    [ExcelArgument(Description = </t>
    </r>
    <r>
      <rPr>
        <sz val="11"/>
        <color rgb="FF8B0000"/>
        <rFont val="Calibri"/>
        <family val="2"/>
        <scheme val="minor"/>
      </rPr>
      <t>"Timeout value"</t>
    </r>
    <r>
      <rPr>
        <sz val="11"/>
        <color rgb="FF000000"/>
        <rFont val="Calibri"/>
        <family val="2"/>
        <scheme val="minor"/>
      </rPr>
      <t xml:space="preserve">)] </t>
    </r>
    <r>
      <rPr>
        <sz val="11"/>
        <color rgb="FF0000FF"/>
        <rFont val="Calibri"/>
        <family val="2"/>
        <scheme val="minor"/>
      </rPr>
      <t>int</t>
    </r>
    <r>
      <rPr>
        <sz val="11"/>
        <color rgb="FF000000"/>
        <rFont val="Calibri"/>
        <family val="2"/>
        <scheme val="minor"/>
      </rPr>
      <t xml:space="preserve"> PingTimeout)</t>
    </r>
  </si>
  <si>
    <r>
      <t xml:space="preserve">        </t>
    </r>
    <r>
      <rPr>
        <sz val="11"/>
        <color rgb="FF0000FF"/>
        <rFont val="Calibri"/>
        <family val="2"/>
        <scheme val="minor"/>
      </rPr>
      <t>return</t>
    </r>
    <r>
      <rPr>
        <sz val="11"/>
        <color rgb="FF000000"/>
        <rFont val="Calibri"/>
        <family val="2"/>
        <scheme val="minor"/>
      </rPr>
      <t xml:space="preserve"> GetReplyFor(reply);</t>
    </r>
  </si>
  <si>
    <r>
      <t>string</t>
    </r>
    <r>
      <rPr>
        <sz val="11"/>
        <color rgb="FF000000"/>
        <rFont val="Calibri"/>
        <family val="2"/>
        <scheme val="minor"/>
      </rPr>
      <t xml:space="preserve"> GetReplyFor(</t>
    </r>
    <r>
      <rPr>
        <sz val="11"/>
        <color rgb="FF20B2AA"/>
        <rFont val="Calibri"/>
        <family val="2"/>
        <scheme val="minor"/>
      </rPr>
      <t>PingReply</t>
    </r>
    <r>
      <rPr>
        <sz val="11"/>
        <color rgb="FF000000"/>
        <rFont val="Calibri"/>
        <family val="2"/>
        <scheme val="minor"/>
      </rPr>
      <t xml:space="preserve"> reply)</t>
    </r>
  </si>
  <si>
    <r>
      <t xml:space="preserve">    </t>
    </r>
    <r>
      <rPr>
        <sz val="11"/>
        <color rgb="FF0000FF"/>
        <rFont val="Calibri"/>
        <family val="2"/>
        <scheme val="minor"/>
      </rPr>
      <t>return</t>
    </r>
    <r>
      <rPr>
        <sz val="11"/>
        <color rgb="FF000000"/>
        <rFont val="Calibri"/>
        <family val="2"/>
        <scheme val="minor"/>
      </rPr>
      <t xml:space="preserve"> </t>
    </r>
    <r>
      <rPr>
        <sz val="11"/>
        <color rgb="FF8B0000"/>
        <rFont val="Calibri"/>
        <family val="2"/>
        <scheme val="minor"/>
      </rPr>
      <t>$"</t>
    </r>
    <r>
      <rPr>
        <sz val="11"/>
        <color rgb="FF000000"/>
        <rFont val="Calibri"/>
        <family val="2"/>
        <scheme val="minor"/>
      </rPr>
      <t>{</t>
    </r>
    <r>
      <rPr>
        <sz val="11"/>
        <color rgb="FF20B2AA"/>
        <rFont val="Calibri"/>
        <family val="2"/>
        <scheme val="minor"/>
      </rPr>
      <t>DateTime</t>
    </r>
    <r>
      <rPr>
        <sz val="11"/>
        <color rgb="FF000000"/>
        <rFont val="Calibri"/>
        <family val="2"/>
        <scheme val="minor"/>
      </rPr>
      <t>.Now}</t>
    </r>
    <r>
      <rPr>
        <sz val="11"/>
        <color rgb="FF8B0000"/>
        <rFont val="Calibri"/>
        <family val="2"/>
        <scheme val="minor"/>
      </rPr>
      <t xml:space="preserve"> - Status: </t>
    </r>
    <r>
      <rPr>
        <sz val="11"/>
        <color rgb="FF000000"/>
        <rFont val="Calibri"/>
        <family val="2"/>
        <scheme val="minor"/>
      </rPr>
      <t>{reply.Status}</t>
    </r>
    <r>
      <rPr>
        <sz val="11"/>
        <color rgb="FF8B0000"/>
        <rFont val="Calibri"/>
        <family val="2"/>
        <scheme val="minor"/>
      </rPr>
      <t xml:space="preserve"> (</t>
    </r>
    <r>
      <rPr>
        <sz val="11"/>
        <color rgb="FF000000"/>
        <rFont val="Calibri"/>
        <family val="2"/>
        <scheme val="minor"/>
      </rPr>
      <t>{reply.RoundtripTime}</t>
    </r>
    <r>
      <rPr>
        <sz val="11"/>
        <color rgb="FF8B0000"/>
        <rFont val="Calibri"/>
        <family val="2"/>
        <scheme val="minor"/>
      </rPr>
      <t xml:space="preserve">ms) from </t>
    </r>
    <r>
      <rPr>
        <sz val="11"/>
        <color rgb="FF000000"/>
        <rFont val="Calibri"/>
        <family val="2"/>
        <scheme val="minor"/>
      </rPr>
      <t>{reply.Address}</t>
    </r>
    <r>
      <rPr>
        <sz val="11"/>
        <color rgb="FF8B0000"/>
        <rFont val="Calibri"/>
        <family val="2"/>
        <scheme val="minor"/>
      </rPr>
      <t>"</t>
    </r>
    <r>
      <rPr>
        <sz val="11"/>
        <color rgb="FF000000"/>
        <rFont val="Calibri"/>
        <family val="2"/>
        <scheme val="minor"/>
      </rPr>
      <t>;</t>
    </r>
  </si>
  <si>
    <r>
      <t>string</t>
    </r>
    <r>
      <rPr>
        <sz val="11"/>
        <color rgb="FF000000"/>
        <rFont val="Calibri"/>
        <family val="2"/>
        <scheme val="minor"/>
      </rPr>
      <t xml:space="preserve"> PingScript(</t>
    </r>
    <r>
      <rPr>
        <sz val="11"/>
        <color rgb="FF0000FF"/>
        <rFont val="Calibri"/>
        <family val="2"/>
        <scheme val="minor"/>
      </rPr>
      <t>string</t>
    </r>
    <r>
      <rPr>
        <sz val="11"/>
        <color rgb="FF000000"/>
        <rFont val="Calibri"/>
        <family val="2"/>
        <scheme val="minor"/>
      </rPr>
      <t xml:space="preserve"> IpAddress, </t>
    </r>
    <r>
      <rPr>
        <sz val="11"/>
        <color rgb="FF0000FF"/>
        <rFont val="Calibri"/>
        <family val="2"/>
        <scheme val="minor"/>
      </rPr>
      <t>int</t>
    </r>
    <r>
      <rPr>
        <sz val="11"/>
        <color rgb="FF000000"/>
        <rFont val="Calibri"/>
        <family val="2"/>
        <scheme val="minor"/>
      </rPr>
      <t xml:space="preserve"> PingTimeout)</t>
    </r>
  </si>
  <si>
    <r>
      <t xml:space="preserve">#r </t>
    </r>
    <r>
      <rPr>
        <sz val="11"/>
        <color rgb="FF8B0000"/>
        <rFont val="Calibri"/>
        <family val="2"/>
        <scheme val="minor"/>
      </rPr>
      <t>"System.Windows.Forms"</t>
    </r>
  </si>
  <si>
    <r>
      <t>private</t>
    </r>
    <r>
      <rPr>
        <sz val="11"/>
        <color rgb="FF000000"/>
        <rFont val="Calibri"/>
        <family val="2"/>
        <scheme val="minor"/>
      </rPr>
      <t xml:space="preserve"> </t>
    </r>
    <r>
      <rPr>
        <sz val="11"/>
        <color rgb="FF0000FF"/>
        <rFont val="Calibri"/>
        <family val="2"/>
        <scheme val="minor"/>
      </rPr>
      <t>string</t>
    </r>
    <r>
      <rPr>
        <sz val="11"/>
        <color rgb="FF000000"/>
        <rFont val="Calibri"/>
        <family val="2"/>
        <scheme val="minor"/>
      </rPr>
      <t xml:space="preserve"> OpenWindow()</t>
    </r>
  </si>
  <si>
    <r>
      <t xml:space="preserve">    </t>
    </r>
    <r>
      <rPr>
        <sz val="11"/>
        <color rgb="FF0000FF"/>
        <rFont val="Calibri"/>
        <family val="2"/>
        <scheme val="minor"/>
      </rPr>
      <t>using</t>
    </r>
    <r>
      <rPr>
        <sz val="11"/>
        <color rgb="FF000000"/>
        <rFont val="Calibri"/>
        <family val="2"/>
        <scheme val="minor"/>
      </rPr>
      <t xml:space="preserve"> (Form form = </t>
    </r>
    <r>
      <rPr>
        <sz val="11"/>
        <color rgb="FF0000FF"/>
        <rFont val="Calibri"/>
        <family val="2"/>
        <scheme val="minor"/>
      </rPr>
      <t>new</t>
    </r>
    <r>
      <rPr>
        <sz val="11"/>
        <color rgb="FF000000"/>
        <rFont val="Calibri"/>
        <family val="2"/>
        <scheme val="minor"/>
      </rPr>
      <t xml:space="preserve"> Form { Height = 150, Width = 300 })</t>
    </r>
  </si>
  <si>
    <t xml:space="preserve">    {</t>
  </si>
  <si>
    <r>
      <t xml:space="preserve">        form.Text = </t>
    </r>
    <r>
      <rPr>
        <sz val="11"/>
        <color rgb="FF8B0000"/>
        <rFont val="Calibri"/>
        <family val="2"/>
        <scheme val="minor"/>
      </rPr>
      <t>"A windows forms window"</t>
    </r>
    <r>
      <rPr>
        <sz val="11"/>
        <color rgb="FF000000"/>
        <rFont val="Calibri"/>
        <family val="2"/>
        <scheme val="minor"/>
      </rPr>
      <t>;</t>
    </r>
  </si>
  <si>
    <r>
      <t xml:space="preserve">        </t>
    </r>
    <r>
      <rPr>
        <sz val="11"/>
        <color rgb="FF0000FF"/>
        <rFont val="Calibri"/>
        <family val="2"/>
        <scheme val="minor"/>
      </rPr>
      <t>var</t>
    </r>
    <r>
      <rPr>
        <sz val="11"/>
        <color rgb="FF000000"/>
        <rFont val="Calibri"/>
        <family val="2"/>
        <scheme val="minor"/>
      </rPr>
      <t xml:space="preserve"> label = </t>
    </r>
    <r>
      <rPr>
        <sz val="11"/>
        <color rgb="FF0000FF"/>
        <rFont val="Calibri"/>
        <family val="2"/>
        <scheme val="minor"/>
      </rPr>
      <t>new</t>
    </r>
    <r>
      <rPr>
        <sz val="11"/>
        <color rgb="FF000000"/>
        <rFont val="Calibri"/>
        <family val="2"/>
        <scheme val="minor"/>
      </rPr>
      <t xml:space="preserve"> </t>
    </r>
    <r>
      <rPr>
        <sz val="11"/>
        <color rgb="FF20B2AA"/>
        <rFont val="Calibri"/>
        <family val="2"/>
        <scheme val="minor"/>
      </rPr>
      <t>Label</t>
    </r>
    <r>
      <rPr>
        <sz val="11"/>
        <color rgb="FF000000"/>
        <rFont val="Calibri"/>
        <family val="2"/>
        <scheme val="minor"/>
      </rPr>
      <t xml:space="preserve"> { Text = </t>
    </r>
    <r>
      <rPr>
        <sz val="11"/>
        <color rgb="FF8B0000"/>
        <rFont val="Calibri"/>
        <family val="2"/>
        <scheme val="minor"/>
      </rPr>
      <t>"Hello..."</t>
    </r>
    <r>
      <rPr>
        <sz val="11"/>
        <color rgb="FF000000"/>
        <rFont val="Calibri"/>
        <family val="2"/>
        <scheme val="minor"/>
      </rPr>
      <t xml:space="preserve"> };</t>
    </r>
  </si>
  <si>
    <t xml:space="preserve">        form.Controls.Add(label);</t>
  </si>
  <si>
    <r>
      <t xml:space="preserve">        </t>
    </r>
    <r>
      <rPr>
        <sz val="11"/>
        <color rgb="FF0000FF"/>
        <rFont val="Calibri"/>
        <family val="2"/>
        <scheme val="minor"/>
      </rPr>
      <t>var</t>
    </r>
    <r>
      <rPr>
        <sz val="11"/>
        <color rgb="FF000000"/>
        <rFont val="Calibri"/>
        <family val="2"/>
        <scheme val="minor"/>
      </rPr>
      <t xml:space="preserve"> tb = </t>
    </r>
    <r>
      <rPr>
        <sz val="11"/>
        <color rgb="FF0000FF"/>
        <rFont val="Calibri"/>
        <family val="2"/>
        <scheme val="minor"/>
      </rPr>
      <t>new</t>
    </r>
    <r>
      <rPr>
        <sz val="11"/>
        <color rgb="FF000000"/>
        <rFont val="Calibri"/>
        <family val="2"/>
        <scheme val="minor"/>
      </rPr>
      <t xml:space="preserve"> </t>
    </r>
    <r>
      <rPr>
        <sz val="11"/>
        <color rgb="FF20B2AA"/>
        <rFont val="Calibri"/>
        <family val="2"/>
        <scheme val="minor"/>
      </rPr>
      <t>TextBox</t>
    </r>
    <r>
      <rPr>
        <sz val="11"/>
        <color rgb="FF000000"/>
        <rFont val="Calibri"/>
        <family val="2"/>
        <scheme val="minor"/>
      </rPr>
      <t xml:space="preserve"> { Text = </t>
    </r>
    <r>
      <rPr>
        <sz val="11"/>
        <color rgb="FF8B0000"/>
        <rFont val="Calibri"/>
        <family val="2"/>
        <scheme val="minor"/>
      </rPr>
      <t>"Enter something in here"</t>
    </r>
    <r>
      <rPr>
        <sz val="11"/>
        <color rgb="FF000000"/>
        <rFont val="Calibri"/>
        <family val="2"/>
        <scheme val="minor"/>
      </rPr>
      <t>, Top = 25, Width = 300 };</t>
    </r>
  </si>
  <si>
    <t xml:space="preserve">        form.Controls.Add(tb);</t>
  </si>
  <si>
    <r>
      <t xml:space="preserve">        </t>
    </r>
    <r>
      <rPr>
        <sz val="11"/>
        <color rgb="FF0000FF"/>
        <rFont val="Calibri"/>
        <family val="2"/>
        <scheme val="minor"/>
      </rPr>
      <t>var</t>
    </r>
    <r>
      <rPr>
        <sz val="11"/>
        <color rgb="FF000000"/>
        <rFont val="Calibri"/>
        <family val="2"/>
        <scheme val="minor"/>
      </rPr>
      <t xml:space="preserve"> btn = </t>
    </r>
    <r>
      <rPr>
        <sz val="11"/>
        <color rgb="FF0000FF"/>
        <rFont val="Calibri"/>
        <family val="2"/>
        <scheme val="minor"/>
      </rPr>
      <t>new</t>
    </r>
    <r>
      <rPr>
        <sz val="11"/>
        <color rgb="FF000000"/>
        <rFont val="Calibri"/>
        <family val="2"/>
        <scheme val="minor"/>
      </rPr>
      <t xml:space="preserve"> </t>
    </r>
    <r>
      <rPr>
        <sz val="11"/>
        <color rgb="FF20B2AA"/>
        <rFont val="Calibri"/>
        <family val="2"/>
        <scheme val="minor"/>
      </rPr>
      <t>Button</t>
    </r>
    <r>
      <rPr>
        <sz val="11"/>
        <color rgb="FF000000"/>
        <rFont val="Calibri"/>
        <family val="2"/>
        <scheme val="minor"/>
      </rPr>
      <t xml:space="preserve"> { Text = </t>
    </r>
    <r>
      <rPr>
        <sz val="11"/>
        <color rgb="FF8B0000"/>
        <rFont val="Calibri"/>
        <family val="2"/>
        <scheme val="minor"/>
      </rPr>
      <t>"Ok"</t>
    </r>
    <r>
      <rPr>
        <sz val="11"/>
        <color rgb="FF000000"/>
        <rFont val="Calibri"/>
        <family val="2"/>
        <scheme val="minor"/>
      </rPr>
      <t>, Top = 60, Width = 50, Left = 125 };</t>
    </r>
  </si>
  <si>
    <t xml:space="preserve">        form.Controls.Add(btn);</t>
  </si>
  <si>
    <r>
      <t xml:space="preserve">    </t>
    </r>
    <r>
      <rPr>
        <sz val="11"/>
        <color rgb="FF0000FF"/>
        <rFont val="Calibri"/>
        <family val="2"/>
        <scheme val="minor"/>
      </rPr>
      <t>return</t>
    </r>
    <r>
      <rPr>
        <sz val="11"/>
        <color rgb="FF000000"/>
        <rFont val="Calibri"/>
        <family val="2"/>
        <scheme val="minor"/>
      </rPr>
      <t xml:space="preserve"> </t>
    </r>
    <r>
      <rPr>
        <sz val="11"/>
        <color rgb="FF8B0000"/>
        <rFont val="Calibri"/>
        <family val="2"/>
        <scheme val="minor"/>
      </rPr>
      <t xml:space="preserve">$"User entered: </t>
    </r>
    <r>
      <rPr>
        <sz val="11"/>
        <color rgb="FF000000"/>
        <rFont val="Calibri"/>
        <family val="2"/>
        <scheme val="minor"/>
      </rPr>
      <t>{userInput}</t>
    </r>
    <r>
      <rPr>
        <sz val="11"/>
        <color rgb="FF8B0000"/>
        <rFont val="Calibri"/>
        <family val="2"/>
        <scheme val="minor"/>
      </rPr>
      <t>"</t>
    </r>
    <r>
      <rPr>
        <sz val="11"/>
        <color rgb="FF000000"/>
        <rFont val="Calibri"/>
        <family val="2"/>
        <scheme val="minor"/>
      </rPr>
      <t>;</t>
    </r>
  </si>
  <si>
    <r>
      <t xml:space="preserve">#r </t>
    </r>
    <r>
      <rPr>
        <sz val="11"/>
        <color rgb="FF8B0000"/>
        <rFont val="Calibri"/>
        <family val="2"/>
        <scheme val="minor"/>
      </rPr>
      <t>"PresentationCore"</t>
    </r>
  </si>
  <si>
    <r>
      <t xml:space="preserve">#r </t>
    </r>
    <r>
      <rPr>
        <sz val="11"/>
        <color rgb="FF8B0000"/>
        <rFont val="Calibri"/>
        <family val="2"/>
        <scheme val="minor"/>
      </rPr>
      <t>"PresentationFramework"</t>
    </r>
  </si>
  <si>
    <r>
      <t xml:space="preserve">#r </t>
    </r>
    <r>
      <rPr>
        <sz val="11"/>
        <color rgb="FF8B0000"/>
        <rFont val="Calibri"/>
        <family val="2"/>
        <scheme val="minor"/>
      </rPr>
      <t>"WindowsBase"</t>
    </r>
  </si>
  <si>
    <r>
      <t>using</t>
    </r>
    <r>
      <rPr>
        <sz val="11"/>
        <color rgb="FF000000"/>
        <rFont val="Calibri"/>
        <family val="2"/>
        <scheme val="minor"/>
      </rPr>
      <t xml:space="preserve"> System.Windows;</t>
    </r>
  </si>
  <si>
    <r>
      <t>using</t>
    </r>
    <r>
      <rPr>
        <sz val="11"/>
        <color rgb="FF000000"/>
        <rFont val="Calibri"/>
        <family val="2"/>
        <scheme val="minor"/>
      </rPr>
      <t xml:space="preserve"> System.Windows.Markup;</t>
    </r>
  </si>
  <si>
    <r>
      <t>static</t>
    </r>
    <r>
      <rPr>
        <sz val="11"/>
        <color rgb="FF000000"/>
        <rFont val="Calibri"/>
        <family val="2"/>
        <scheme val="minor"/>
      </rPr>
      <t xml:space="preserve"> </t>
    </r>
    <r>
      <rPr>
        <sz val="11"/>
        <color rgb="FF20B2AA"/>
        <rFont val="Calibri"/>
        <family val="2"/>
        <scheme val="minor"/>
      </rPr>
      <t>Stream</t>
    </r>
    <r>
      <rPr>
        <sz val="11"/>
        <color rgb="FF000000"/>
        <rFont val="Calibri"/>
        <family val="2"/>
        <scheme val="minor"/>
      </rPr>
      <t xml:space="preserve"> ToStream(</t>
    </r>
    <r>
      <rPr>
        <sz val="11"/>
        <color rgb="FF0000FF"/>
        <rFont val="Calibri"/>
        <family val="2"/>
        <scheme val="minor"/>
      </rPr>
      <t>string</t>
    </r>
    <r>
      <rPr>
        <sz val="11"/>
        <color rgb="FF000000"/>
        <rFont val="Calibri"/>
        <family val="2"/>
        <scheme val="minor"/>
      </rPr>
      <t xml:space="preserve"> text)</t>
    </r>
  </si>
  <si>
    <r>
      <t xml:space="preserve">    </t>
    </r>
    <r>
      <rPr>
        <sz val="11"/>
        <color rgb="FF0000FF"/>
        <rFont val="Calibri"/>
        <family val="2"/>
        <scheme val="minor"/>
      </rPr>
      <t>byte</t>
    </r>
    <r>
      <rPr>
        <sz val="11"/>
        <color rgb="FF000000"/>
        <rFont val="Calibri"/>
        <family val="2"/>
        <scheme val="minor"/>
      </rPr>
      <t xml:space="preserve">[] bytes = </t>
    </r>
    <r>
      <rPr>
        <sz val="11"/>
        <color rgb="FF20B2AA"/>
        <rFont val="Calibri"/>
        <family val="2"/>
        <scheme val="minor"/>
      </rPr>
      <t>Encoding</t>
    </r>
    <r>
      <rPr>
        <sz val="11"/>
        <color rgb="FF000000"/>
        <rFont val="Calibri"/>
        <family val="2"/>
        <scheme val="minor"/>
      </rPr>
      <t>.UTF8.GetBytes(text);</t>
    </r>
  </si>
  <si>
    <r>
      <t xml:space="preserve">    </t>
    </r>
    <r>
      <rPr>
        <sz val="11"/>
        <color rgb="FF0000FF"/>
        <rFont val="Calibri"/>
        <family val="2"/>
        <scheme val="minor"/>
      </rPr>
      <t>return</t>
    </r>
    <r>
      <rPr>
        <sz val="11"/>
        <color rgb="FF000000"/>
        <rFont val="Calibri"/>
        <family val="2"/>
        <scheme val="minor"/>
      </rPr>
      <t xml:space="preserve"> </t>
    </r>
    <r>
      <rPr>
        <sz val="11"/>
        <color rgb="FF0000FF"/>
        <rFont val="Calibri"/>
        <family val="2"/>
        <scheme val="minor"/>
      </rPr>
      <t>new</t>
    </r>
    <r>
      <rPr>
        <sz val="11"/>
        <color rgb="FF000000"/>
        <rFont val="Calibri"/>
        <family val="2"/>
        <scheme val="minor"/>
      </rPr>
      <t xml:space="preserve"> </t>
    </r>
    <r>
      <rPr>
        <sz val="11"/>
        <color rgb="FF20B2AA"/>
        <rFont val="Calibri"/>
        <family val="2"/>
        <scheme val="minor"/>
      </rPr>
      <t>MemoryStream</t>
    </r>
    <r>
      <rPr>
        <sz val="11"/>
        <color rgb="FF000000"/>
        <rFont val="Calibri"/>
        <family val="2"/>
        <scheme val="minor"/>
      </rPr>
      <t>(bytes);</t>
    </r>
  </si>
  <si>
    <r>
      <t>string</t>
    </r>
    <r>
      <rPr>
        <sz val="11"/>
        <color rgb="FF000000"/>
        <rFont val="Calibri"/>
        <family val="2"/>
        <scheme val="minor"/>
      </rPr>
      <t xml:space="preserve"> ShowWpfWindow()</t>
    </r>
  </si>
  <si>
    <r>
      <t xml:space="preserve">    </t>
    </r>
    <r>
      <rPr>
        <sz val="11"/>
        <color rgb="FF0000FF"/>
        <rFont val="Calibri"/>
        <family val="2"/>
        <scheme val="minor"/>
      </rPr>
      <t>string</t>
    </r>
    <r>
      <rPr>
        <sz val="11"/>
        <color rgb="FF000000"/>
        <rFont val="Calibri"/>
        <family val="2"/>
        <scheme val="minor"/>
      </rPr>
      <t xml:space="preserve"> xaml = @"&lt;Window x:Class=""System.Windows.Window""</t>
    </r>
  </si>
  <si>
    <r>
      <t xml:space="preserve">    </t>
    </r>
    <r>
      <rPr>
        <sz val="11"/>
        <color rgb="FF0000FF"/>
        <rFont val="Calibri"/>
        <family val="2"/>
        <scheme val="minor"/>
      </rPr>
      <t>using</t>
    </r>
    <r>
      <rPr>
        <sz val="11"/>
        <color rgb="FF000000"/>
        <rFont val="Calibri"/>
        <family val="2"/>
        <scheme val="minor"/>
      </rPr>
      <t xml:space="preserve"> (</t>
    </r>
    <r>
      <rPr>
        <sz val="11"/>
        <color rgb="FF0000FF"/>
        <rFont val="Calibri"/>
        <family val="2"/>
        <scheme val="minor"/>
      </rPr>
      <t>var</t>
    </r>
    <r>
      <rPr>
        <sz val="11"/>
        <color rgb="FF000000"/>
        <rFont val="Calibri"/>
        <family val="2"/>
        <scheme val="minor"/>
      </rPr>
      <t xml:space="preserve"> sr = ToStream(xaml))</t>
    </r>
  </si>
  <si>
    <r>
      <t xml:space="preserve">        </t>
    </r>
    <r>
      <rPr>
        <sz val="11"/>
        <color rgb="FF0000FF"/>
        <rFont val="Calibri"/>
        <family val="2"/>
        <scheme val="minor"/>
      </rPr>
      <t>var</t>
    </r>
    <r>
      <rPr>
        <sz val="11"/>
        <color rgb="FF000000"/>
        <rFont val="Calibri"/>
        <family val="2"/>
        <scheme val="minor"/>
      </rPr>
      <t xml:space="preserve"> window = (</t>
    </r>
    <r>
      <rPr>
        <sz val="11"/>
        <color rgb="FF20B2AA"/>
        <rFont val="Calibri"/>
        <family val="2"/>
        <scheme val="minor"/>
      </rPr>
      <t>Window</t>
    </r>
    <r>
      <rPr>
        <sz val="11"/>
        <color rgb="FF000000"/>
        <rFont val="Calibri"/>
        <family val="2"/>
        <scheme val="minor"/>
      </rPr>
      <t>)XamlReader.Load(sr);</t>
    </r>
  </si>
  <si>
    <t xml:space="preserve">        window.Show();</t>
  </si>
  <si>
    <r>
      <t xml:space="preserve">    </t>
    </r>
    <r>
      <rPr>
        <sz val="11"/>
        <color rgb="FF0000FF"/>
        <rFont val="Calibri"/>
        <family val="2"/>
        <scheme val="minor"/>
      </rPr>
      <t>return</t>
    </r>
    <r>
      <rPr>
        <sz val="11"/>
        <color rgb="FF000000"/>
        <rFont val="Calibri"/>
        <family val="2"/>
        <scheme val="minor"/>
      </rPr>
      <t xml:space="preserve"> </t>
    </r>
    <r>
      <rPr>
        <sz val="11"/>
        <color rgb="FF8B0000"/>
        <rFont val="Calibri"/>
        <family val="2"/>
        <scheme val="minor"/>
      </rPr>
      <t>"ok"</t>
    </r>
    <r>
      <rPr>
        <sz val="11"/>
        <color rgb="FF000000"/>
        <rFont val="Calibri"/>
        <family val="2"/>
        <scheme val="minor"/>
      </rPr>
      <t>;</t>
    </r>
  </si>
  <si>
    <r>
      <t>return</t>
    </r>
    <r>
      <rPr>
        <sz val="11"/>
        <color rgb="FF000000"/>
        <rFont val="Calibri"/>
        <family val="2"/>
        <scheme val="minor"/>
      </rPr>
      <t xml:space="preserve"> </t>
    </r>
    <r>
      <rPr>
        <sz val="11"/>
        <color rgb="FF8B0000"/>
        <rFont val="Calibri"/>
        <family val="2"/>
        <scheme val="minor"/>
      </rPr>
      <t xml:space="preserve">$"This script runs in AppDomain: </t>
    </r>
    <r>
      <rPr>
        <sz val="11"/>
        <color rgb="FF000000"/>
        <rFont val="Calibri"/>
        <family val="2"/>
        <scheme val="minor"/>
      </rPr>
      <t>{</t>
    </r>
    <r>
      <rPr>
        <sz val="11"/>
        <color rgb="FF20B2AA"/>
        <rFont val="Calibri"/>
        <family val="2"/>
        <scheme val="minor"/>
      </rPr>
      <t>AppDomain</t>
    </r>
    <r>
      <rPr>
        <sz val="11"/>
        <color rgb="FF000000"/>
        <rFont val="Calibri"/>
        <family val="2"/>
        <scheme val="minor"/>
      </rPr>
      <t>.CurrentDomain.Id}</t>
    </r>
    <r>
      <rPr>
        <sz val="11"/>
        <color rgb="FF8B0000"/>
        <rFont val="Calibri"/>
        <family val="2"/>
        <scheme val="minor"/>
      </rPr>
      <t xml:space="preserve"> (</t>
    </r>
    <r>
      <rPr>
        <sz val="11"/>
        <color rgb="FF000000"/>
        <rFont val="Calibri"/>
        <family val="2"/>
        <scheme val="minor"/>
      </rPr>
      <t>{</t>
    </r>
    <r>
      <rPr>
        <sz val="11"/>
        <color rgb="FF20B2AA"/>
        <rFont val="Calibri"/>
        <family val="2"/>
        <scheme val="minor"/>
      </rPr>
      <t>AppDomain</t>
    </r>
    <r>
      <rPr>
        <sz val="11"/>
        <color rgb="FF000000"/>
        <rFont val="Calibri"/>
        <family val="2"/>
        <scheme val="minor"/>
      </rPr>
      <t>.CurrentDomain}</t>
    </r>
    <r>
      <rPr>
        <sz val="11"/>
        <color rgb="FF8B0000"/>
        <rFont val="Calibri"/>
        <family val="2"/>
        <scheme val="minor"/>
      </rPr>
      <t xml:space="preserve">), Thread </t>
    </r>
    <r>
      <rPr>
        <sz val="11"/>
        <color rgb="FF000000"/>
        <rFont val="Calibri"/>
        <family val="2"/>
        <scheme val="minor"/>
      </rPr>
      <t>{System.Threading.</t>
    </r>
    <r>
      <rPr>
        <sz val="11"/>
        <color rgb="FF20B2AA"/>
        <rFont val="Calibri"/>
        <family val="2"/>
        <scheme val="minor"/>
      </rPr>
      <t>Thread</t>
    </r>
    <r>
      <rPr>
        <sz val="11"/>
        <color rgb="FF000000"/>
        <rFont val="Calibri"/>
        <family val="2"/>
        <scheme val="minor"/>
      </rPr>
      <t>.CurrentThread.ManagedThreadId}</t>
    </r>
    <r>
      <rPr>
        <sz val="11"/>
        <color rgb="FF8B0000"/>
        <rFont val="Calibri"/>
        <family val="2"/>
        <scheme val="minor"/>
      </rPr>
      <t>"</t>
    </r>
    <r>
      <rPr>
        <sz val="11"/>
        <color rgb="FF000000"/>
        <rFont val="Calibri"/>
        <family val="2"/>
        <scheme val="minor"/>
      </rPr>
      <t>;</t>
    </r>
  </si>
  <si>
    <t>=ExcelScript.Register(B39)</t>
  </si>
  <si>
    <r>
      <t xml:space="preserve">    [ExcelArgument(Description = </t>
    </r>
    <r>
      <rPr>
        <sz val="11"/>
        <color rgb="FF8B0000"/>
        <rFont val="Calibri"/>
        <family val="2"/>
        <scheme val="minor"/>
      </rPr>
      <t>"The address to ping"</t>
    </r>
    <r>
      <rPr>
        <sz val="11"/>
        <color rgb="FF000000"/>
        <rFont val="Calibri"/>
        <family val="2"/>
        <scheme val="minor"/>
      </rPr>
      <t>)] Range IpAddress,</t>
    </r>
  </si>
  <si>
    <r>
      <t xml:space="preserve">    </t>
    </r>
    <r>
      <rPr>
        <sz val="11"/>
        <color rgb="FF20B2AA"/>
        <rFont val="Calibri"/>
        <family val="2"/>
        <scheme val="minor"/>
      </rPr>
      <t>PingReply</t>
    </r>
    <r>
      <rPr>
        <sz val="11"/>
        <color rgb="FF000000"/>
        <rFont val="Calibri"/>
        <family val="2"/>
        <scheme val="minor"/>
      </rPr>
      <t xml:space="preserve"> reply = </t>
    </r>
    <r>
      <rPr>
        <sz val="11"/>
        <color rgb="FF0000FF"/>
        <rFont val="Calibri"/>
        <family val="2"/>
        <scheme val="minor"/>
      </rPr>
      <t>new</t>
    </r>
    <r>
      <rPr>
        <sz val="11"/>
        <color rgb="FF000000"/>
        <rFont val="Calibri"/>
        <family val="2"/>
        <scheme val="minor"/>
      </rPr>
      <t xml:space="preserve"> </t>
    </r>
    <r>
      <rPr>
        <sz val="11"/>
        <color rgb="FF20B2AA"/>
        <rFont val="Calibri"/>
        <family val="2"/>
        <scheme val="minor"/>
      </rPr>
      <t>Ping</t>
    </r>
    <r>
      <rPr>
        <sz val="11"/>
        <color rgb="FF000000"/>
        <rFont val="Calibri"/>
        <family val="2"/>
        <scheme val="minor"/>
      </rPr>
      <t>().Send(IpAddress.Value.ToString(), PingTimeout);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</si>
</sst>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 x14ac:knownFonts="1">
    <font>
      <sz val="11"/>
      <color theme="1"/>
      <name val="Calibri"/>
      <family val="2"/>
      <scheme val="minor"/>
    </font>
    <font>
      <sz val="11"/>
      <color rgb="FF0000FF"/>
      <name val="Calibri"/>
      <family val="2"/>
      <scheme val="minor"/>
    </font>
    <font>
      <sz val="11"/>
      <color rgb="FF000000"/>
      <name val="Calibri"/>
      <family val="2"/>
      <scheme val="minor"/>
    </font>
    <font>
      <u/>
      <sz val="20"/>
      <color theme="1"/>
      <name val="Calibri"/>
      <family val="2"/>
      <scheme val="minor"/>
    </font>
    <font>
      <sz val="11"/>
      <color rgb="FF303336"/>
      <name val="Calibri"/>
      <family val="2"/>
      <scheme val="minor"/>
    </font>
    <font>
      <sz val="11"/>
      <color rgb="FF20B2AA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name val="Calibri"/>
      <family val="2"/>
      <scheme val="minor"/>
    </font>
    <font>
      <sz val="11"/>
      <color rgb="FF8B0000"/>
      <name val="Calibri"/>
      <family val="2"/>
      <scheme val="minor"/>
    </font>
    <font>
      <sz val="11"/>
      <color rgb="FF008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CFEE6"/>
        <bgColor indexed="64"/>
      </patternFill>
    </fill>
    <fill>
      <patternFill patternType="solid">
        <fgColor rgb="FFF0F3FE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48">
    <xf numFmtId="0" fontId="0" fillId="0" borderId="0" xfId="0"/>
    <xf numFmtId="0" fontId="1" fillId="2" borderId="1" xfId="0" applyFont="1" applyFill="1" applyBorder="1"/>
    <xf numFmtId="0" fontId="1" fillId="2" borderId="2" xfId="0" applyFont="1" applyFill="1" applyBorder="1"/>
    <xf numFmtId="0" fontId="0" fillId="2" borderId="2" xfId="0" applyFill="1" applyBorder="1"/>
    <xf numFmtId="0" fontId="2" fillId="2" borderId="2" xfId="0" applyFont="1" applyFill="1" applyBorder="1"/>
    <xf numFmtId="0" fontId="0" fillId="0" borderId="0" xfId="0" applyAlignment="1">
      <alignment vertical="top"/>
    </xf>
    <xf numFmtId="0" fontId="0" fillId="2" borderId="3" xfId="0" applyFill="1" applyBorder="1"/>
    <xf numFmtId="0" fontId="0" fillId="2" borderId="2" xfId="0" applyFont="1" applyFill="1" applyBorder="1"/>
    <xf numFmtId="0" fontId="0" fillId="2" borderId="2" xfId="0" applyFont="1" applyFill="1" applyBorder="1" applyAlignment="1">
      <alignment horizontal="left" vertical="center"/>
    </xf>
    <xf numFmtId="0" fontId="2" fillId="2" borderId="2" xfId="0" applyFont="1" applyFill="1" applyBorder="1" applyAlignment="1">
      <alignment horizontal="left" vertical="center"/>
    </xf>
    <xf numFmtId="0" fontId="1" fillId="2" borderId="2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1" fillId="2" borderId="3" xfId="0" applyFont="1" applyFill="1" applyBorder="1" applyAlignment="1">
      <alignment horizontal="left" vertical="center"/>
    </xf>
    <xf numFmtId="0" fontId="6" fillId="0" borderId="0" xfId="0" applyFont="1"/>
    <xf numFmtId="0" fontId="1" fillId="2" borderId="3" xfId="0" applyFont="1" applyFill="1" applyBorder="1"/>
    <xf numFmtId="0" fontId="2" fillId="2" borderId="1" xfId="0" applyFont="1" applyFill="1" applyBorder="1"/>
    <xf numFmtId="0" fontId="0" fillId="0" borderId="7" xfId="0" applyBorder="1"/>
    <xf numFmtId="0" fontId="0" fillId="0" borderId="0" xfId="0" applyAlignment="1">
      <alignment horizontal="left" vertical="top"/>
    </xf>
    <xf numFmtId="0" fontId="0" fillId="0" borderId="0" xfId="0" quotePrefix="1"/>
    <xf numFmtId="0" fontId="3" fillId="4" borderId="0" xfId="0" applyFont="1" applyFill="1"/>
    <xf numFmtId="0" fontId="0" fillId="4" borderId="0" xfId="0" applyFill="1"/>
    <xf numFmtId="0" fontId="0" fillId="5" borderId="0" xfId="0" applyFill="1"/>
    <xf numFmtId="0" fontId="0" fillId="5" borderId="0" xfId="0" applyFill="1" applyAlignment="1">
      <alignment horizontal="left"/>
    </xf>
    <xf numFmtId="0" fontId="0" fillId="5" borderId="0" xfId="0" applyFill="1" applyAlignment="1">
      <alignment horizontal="left" vertical="top"/>
    </xf>
    <xf numFmtId="0" fontId="7" fillId="3" borderId="0" xfId="0" applyFont="1" applyFill="1" applyBorder="1" applyAlignment="1">
      <alignment horizontal="center"/>
    </xf>
    <xf numFmtId="0" fontId="7" fillId="0" borderId="0" xfId="0" applyFont="1" applyBorder="1" applyAlignment="1">
      <alignment horizontal="center"/>
    </xf>
    <xf numFmtId="0" fontId="0" fillId="5" borderId="0" xfId="0" quotePrefix="1" applyFill="1" applyBorder="1" applyAlignment="1">
      <alignment horizontal="center" vertical="center" wrapText="1"/>
    </xf>
    <xf numFmtId="0" fontId="0" fillId="0" borderId="0" xfId="0" applyFill="1" applyBorder="1" applyAlignment="1">
      <alignment horizontal="center"/>
    </xf>
    <xf numFmtId="0" fontId="9" fillId="2" borderId="1" xfId="0" applyFont="1" applyFill="1" applyBorder="1"/>
    <xf numFmtId="0" fontId="9" fillId="2" borderId="2" xfId="0" applyFont="1" applyFill="1" applyBorder="1"/>
    <xf numFmtId="0" fontId="9" fillId="2" borderId="3" xfId="0" applyFont="1" applyFill="1" applyBorder="1"/>
    <xf numFmtId="0" fontId="9" fillId="0" borderId="0" xfId="0" applyFont="1"/>
    <xf numFmtId="0" fontId="0" fillId="0" borderId="0" xfId="0" applyAlignment="1">
      <alignment horizontal="left"/>
    </xf>
    <xf numFmtId="0" fontId="0" fillId="5" borderId="0" xfId="0" quotePrefix="1" applyFill="1"/>
    <xf numFmtId="0" fontId="3" fillId="4" borderId="0" xfId="0" applyFont="1" applyFill="1" applyAlignment="1">
      <alignment vertical="center"/>
    </xf>
    <xf numFmtId="0" fontId="0" fillId="4" borderId="0" xfId="0" applyFill="1" applyAlignment="1">
      <alignment vertical="center"/>
    </xf>
    <xf numFmtId="0" fontId="1" fillId="2" borderId="1" xfId="0" applyFont="1" applyFill="1" applyBorder="1" applyAlignment="1">
      <alignment horizontal="left" vertical="top"/>
    </xf>
    <xf numFmtId="0" fontId="11" fillId="2" borderId="1" xfId="0" applyFont="1" applyFill="1" applyBorder="1" applyAlignment="1">
      <alignment horizontal="center" vertical="top"/>
    </xf>
    <xf numFmtId="0" fontId="5" fillId="2" borderId="2" xfId="0" applyFont="1" applyFill="1" applyBorder="1" applyAlignment="1">
      <alignment horizontal="left" vertical="center"/>
    </xf>
    <xf numFmtId="0" fontId="11" fillId="2" borderId="2" xfId="0" applyFont="1" applyFill="1" applyBorder="1"/>
    <xf numFmtId="0" fontId="0" fillId="5" borderId="8" xfId="0" applyFill="1" applyBorder="1" applyAlignment="1">
      <alignment horizontal="left" vertical="top" wrapText="1"/>
    </xf>
    <xf numFmtId="0" fontId="0" fillId="5" borderId="0" xfId="0" applyFill="1" applyAlignment="1">
      <alignment horizontal="left" vertical="top" wrapText="1"/>
    </xf>
    <xf numFmtId="0" fontId="1" fillId="2" borderId="1" xfId="0" applyFont="1" applyFill="1" applyBorder="1" applyAlignment="1">
      <alignment horizontal="left" vertical="top" wrapText="1"/>
    </xf>
    <xf numFmtId="0" fontId="1" fillId="2" borderId="2" xfId="0" applyFont="1" applyFill="1" applyBorder="1" applyAlignment="1">
      <alignment horizontal="left" vertical="top" wrapText="1"/>
    </xf>
    <xf numFmtId="0" fontId="1" fillId="2" borderId="3" xfId="0" applyFont="1" applyFill="1" applyBorder="1" applyAlignment="1">
      <alignment horizontal="left" vertical="top" wrapText="1"/>
    </xf>
    <xf numFmtId="0" fontId="1" fillId="2" borderId="4" xfId="0" applyFont="1" applyFill="1" applyBorder="1" applyAlignment="1">
      <alignment horizontal="center" vertical="center"/>
    </xf>
    <xf numFmtId="0" fontId="1" fillId="2" borderId="5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0F3FE"/>
      <color rgb="FFFCFEE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1</xdr:row>
          <xdr:rowOff>85725</xdr:rowOff>
        </xdr:from>
        <xdr:to>
          <xdr:col>1</xdr:col>
          <xdr:colOff>1304925</xdr:colOff>
          <xdr:row>1</xdr:row>
          <xdr:rowOff>390525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Run / Refresh formulas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1</xdr:row>
          <xdr:rowOff>85725</xdr:rowOff>
        </xdr:from>
        <xdr:to>
          <xdr:col>1</xdr:col>
          <xdr:colOff>1304925</xdr:colOff>
          <xdr:row>1</xdr:row>
          <xdr:rowOff>390525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Run / Refresh formulas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</xdr:row>
          <xdr:rowOff>85725</xdr:rowOff>
        </xdr:from>
        <xdr:to>
          <xdr:col>4</xdr:col>
          <xdr:colOff>1304925</xdr:colOff>
          <xdr:row>1</xdr:row>
          <xdr:rowOff>390525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Run / Refresh formulas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1</xdr:row>
          <xdr:rowOff>85725</xdr:rowOff>
        </xdr:from>
        <xdr:to>
          <xdr:col>7</xdr:col>
          <xdr:colOff>1304925</xdr:colOff>
          <xdr:row>1</xdr:row>
          <xdr:rowOff>390525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Run / Refresh formulas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1</xdr:row>
          <xdr:rowOff>85725</xdr:rowOff>
        </xdr:from>
        <xdr:to>
          <xdr:col>1</xdr:col>
          <xdr:colOff>1295400</xdr:colOff>
          <xdr:row>1</xdr:row>
          <xdr:rowOff>390525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Run / Refresh formulas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</xdr:row>
          <xdr:rowOff>85725</xdr:rowOff>
        </xdr:from>
        <xdr:to>
          <xdr:col>4</xdr:col>
          <xdr:colOff>1295400</xdr:colOff>
          <xdr:row>1</xdr:row>
          <xdr:rowOff>390525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Run / Refresh formulas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1</xdr:row>
          <xdr:rowOff>85725</xdr:rowOff>
        </xdr:from>
        <xdr:to>
          <xdr:col>1</xdr:col>
          <xdr:colOff>1304925</xdr:colOff>
          <xdr:row>1</xdr:row>
          <xdr:rowOff>390525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Run / Refresh formulas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47625</xdr:colOff>
          <xdr:row>1</xdr:row>
          <xdr:rowOff>85725</xdr:rowOff>
        </xdr:from>
        <xdr:to>
          <xdr:col>4</xdr:col>
          <xdr:colOff>1314450</xdr:colOff>
          <xdr:row>1</xdr:row>
          <xdr:rowOff>390525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Run / Refresh formulas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1</xdr:row>
          <xdr:rowOff>85725</xdr:rowOff>
        </xdr:from>
        <xdr:to>
          <xdr:col>1</xdr:col>
          <xdr:colOff>1304925</xdr:colOff>
          <xdr:row>1</xdr:row>
          <xdr:rowOff>390525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Run / Refresh formulas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1</xdr:row>
          <xdr:rowOff>85725</xdr:rowOff>
        </xdr:from>
        <xdr:to>
          <xdr:col>1</xdr:col>
          <xdr:colOff>1304925</xdr:colOff>
          <xdr:row>1</xdr:row>
          <xdr:rowOff>390525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Run / Refresh formulas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1</xdr:row>
          <xdr:rowOff>85725</xdr:rowOff>
        </xdr:from>
        <xdr:to>
          <xdr:col>1</xdr:col>
          <xdr:colOff>1304925</xdr:colOff>
          <xdr:row>1</xdr:row>
          <xdr:rowOff>390525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Run / Refresh formulas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1</xdr:row>
          <xdr:rowOff>85725</xdr:rowOff>
        </xdr:from>
        <xdr:to>
          <xdr:col>1</xdr:col>
          <xdr:colOff>1304925</xdr:colOff>
          <xdr:row>1</xdr:row>
          <xdr:rowOff>390525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Run / Refresh formulas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1</xdr:row>
          <xdr:rowOff>85725</xdr:rowOff>
        </xdr:from>
        <xdr:to>
          <xdr:col>1</xdr:col>
          <xdr:colOff>1304925</xdr:colOff>
          <xdr:row>1</xdr:row>
          <xdr:rowOff>390525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Run / Refresh formulas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hyperlink" Target="http://www.yahoo.com/" TargetMode="Externa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44"/>
  <sheetViews>
    <sheetView tabSelected="1" workbookViewId="0"/>
  </sheetViews>
  <sheetFormatPr defaultRowHeight="15" x14ac:dyDescent="0.25"/>
  <cols>
    <col min="1" max="1" width="12.85546875" customWidth="1"/>
    <col min="2" max="2" width="107.85546875" customWidth="1"/>
  </cols>
  <sheetData>
    <row r="1" spans="1:2" ht="26.25" x14ac:dyDescent="0.4">
      <c r="A1" s="19" t="s">
        <v>93</v>
      </c>
      <c r="B1" s="20"/>
    </row>
    <row r="2" spans="1:2" ht="37.5" customHeight="1" x14ac:dyDescent="0.4">
      <c r="A2" s="19"/>
      <c r="B2" s="20"/>
    </row>
    <row r="3" spans="1:2" x14ac:dyDescent="0.25">
      <c r="A3" s="20" t="s">
        <v>94</v>
      </c>
      <c r="B3" s="20"/>
    </row>
    <row r="4" spans="1:2" x14ac:dyDescent="0.25">
      <c r="A4" s="20" t="s">
        <v>42</v>
      </c>
      <c r="B4" s="20"/>
    </row>
    <row r="5" spans="1:2" x14ac:dyDescent="0.25">
      <c r="A5" s="20" t="s">
        <v>106</v>
      </c>
      <c r="B5" s="20"/>
    </row>
    <row r="6" spans="1:2" ht="15.75" thickBot="1" x14ac:dyDescent="0.3"/>
    <row r="7" spans="1:2" x14ac:dyDescent="0.25">
      <c r="A7" s="5" t="s">
        <v>2</v>
      </c>
      <c r="B7" s="36" t="s">
        <v>107</v>
      </c>
    </row>
    <row r="8" spans="1:2" x14ac:dyDescent="0.25">
      <c r="B8" s="4" t="s">
        <v>40</v>
      </c>
    </row>
    <row r="9" spans="1:2" x14ac:dyDescent="0.25">
      <c r="B9" s="4" t="s">
        <v>108</v>
      </c>
    </row>
    <row r="10" spans="1:2" x14ac:dyDescent="0.25">
      <c r="B10" s="4" t="s">
        <v>109</v>
      </c>
    </row>
    <row r="11" spans="1:2" x14ac:dyDescent="0.25">
      <c r="B11" s="4" t="s">
        <v>110</v>
      </c>
    </row>
    <row r="12" spans="1:2" x14ac:dyDescent="0.25">
      <c r="B12" s="4" t="s">
        <v>111</v>
      </c>
    </row>
    <row r="13" spans="1:2" x14ac:dyDescent="0.25">
      <c r="B13" s="7"/>
    </row>
    <row r="14" spans="1:2" x14ac:dyDescent="0.25">
      <c r="B14" s="9"/>
    </row>
    <row r="15" spans="1:2" x14ac:dyDescent="0.25">
      <c r="B15" s="8"/>
    </row>
    <row r="16" spans="1:2" x14ac:dyDescent="0.25">
      <c r="B16" s="9"/>
    </row>
    <row r="17" spans="2:2" x14ac:dyDescent="0.25">
      <c r="B17" s="9"/>
    </row>
    <row r="18" spans="2:2" x14ac:dyDescent="0.25">
      <c r="B18" s="9"/>
    </row>
    <row r="19" spans="2:2" x14ac:dyDescent="0.25">
      <c r="B19" s="9"/>
    </row>
    <row r="20" spans="2:2" x14ac:dyDescent="0.25">
      <c r="B20" s="9"/>
    </row>
    <row r="21" spans="2:2" x14ac:dyDescent="0.25">
      <c r="B21" s="9"/>
    </row>
    <row r="22" spans="2:2" x14ac:dyDescent="0.25">
      <c r="B22" s="9"/>
    </row>
    <row r="23" spans="2:2" x14ac:dyDescent="0.25">
      <c r="B23" s="10"/>
    </row>
    <row r="24" spans="2:2" x14ac:dyDescent="0.25">
      <c r="B24" s="9"/>
    </row>
    <row r="25" spans="2:2" x14ac:dyDescent="0.25">
      <c r="B25" s="11"/>
    </row>
    <row r="26" spans="2:2" x14ac:dyDescent="0.25">
      <c r="B26" s="11"/>
    </row>
    <row r="27" spans="2:2" x14ac:dyDescent="0.25">
      <c r="B27" s="11"/>
    </row>
    <row r="28" spans="2:2" x14ac:dyDescent="0.25">
      <c r="B28" s="11"/>
    </row>
    <row r="29" spans="2:2" x14ac:dyDescent="0.25">
      <c r="B29" s="11"/>
    </row>
    <row r="30" spans="2:2" x14ac:dyDescent="0.25">
      <c r="B30" s="9"/>
    </row>
    <row r="31" spans="2:2" x14ac:dyDescent="0.25">
      <c r="B31" s="8"/>
    </row>
    <row r="32" spans="2:2" ht="15.75" thickBot="1" x14ac:dyDescent="0.3">
      <c r="B32" s="12"/>
    </row>
    <row r="41" spans="1:2" x14ac:dyDescent="0.25">
      <c r="A41" s="16" t="s">
        <v>71</v>
      </c>
      <c r="B41" s="16"/>
    </row>
    <row r="42" spans="1:2" x14ac:dyDescent="0.25">
      <c r="A42" s="21"/>
      <c r="B42" s="40" t="str">
        <f>_xll.ExcelScript.Evaluate(B7:B32)</f>
        <v>(18.12.2016 15:45:11) This workbook contains the following sheets: "Eval", "Create and Run", "Parse", "Serialization", "Registration", "GUI - WinForms", "GUI - WPF", "Format Code", "ScriptOptions - Hosting"</v>
      </c>
    </row>
    <row r="43" spans="1:2" x14ac:dyDescent="0.25">
      <c r="A43" s="21"/>
      <c r="B43" s="41"/>
    </row>
    <row r="44" spans="1:2" x14ac:dyDescent="0.25">
      <c r="A44" s="21"/>
      <c r="B44" s="41"/>
    </row>
  </sheetData>
  <mergeCells count="1">
    <mergeCell ref="B42:B44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val_Run">
                <anchor moveWithCells="1" sizeWithCells="1">
                  <from>
                    <xdr:col>0</xdr:col>
                    <xdr:colOff>38100</xdr:colOff>
                    <xdr:row>1</xdr:row>
                    <xdr:rowOff>85725</xdr:rowOff>
                  </from>
                  <to>
                    <xdr:col>1</xdr:col>
                    <xdr:colOff>1304925</xdr:colOff>
                    <xdr:row>1</xdr:row>
                    <xdr:rowOff>390525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H44"/>
  <sheetViews>
    <sheetView workbookViewId="0"/>
  </sheetViews>
  <sheetFormatPr defaultRowHeight="15" x14ac:dyDescent="0.25"/>
  <cols>
    <col min="1" max="1" width="12.85546875" customWidth="1"/>
    <col min="2" max="2" width="107.85546875" customWidth="1"/>
    <col min="3" max="3" width="9.140625" customWidth="1"/>
    <col min="4" max="4" width="12.85546875" customWidth="1"/>
    <col min="5" max="5" width="107.85546875" customWidth="1"/>
    <col min="6" max="6" width="9.140625" customWidth="1"/>
    <col min="7" max="7" width="12.85546875" customWidth="1"/>
    <col min="8" max="8" width="108.28515625" customWidth="1"/>
  </cols>
  <sheetData>
    <row r="1" spans="1:8" ht="26.25" x14ac:dyDescent="0.4">
      <c r="A1" s="19" t="s">
        <v>1</v>
      </c>
      <c r="B1" s="20"/>
      <c r="D1" s="19" t="s">
        <v>11</v>
      </c>
      <c r="E1" s="20"/>
      <c r="G1" s="19" t="s">
        <v>100</v>
      </c>
      <c r="H1" s="20"/>
    </row>
    <row r="2" spans="1:8" ht="37.5" customHeight="1" x14ac:dyDescent="0.4">
      <c r="A2" s="19"/>
      <c r="B2" s="20"/>
      <c r="D2" s="19"/>
      <c r="E2" s="20"/>
      <c r="G2" s="19"/>
      <c r="H2" s="20"/>
    </row>
    <row r="3" spans="1:8" ht="15" customHeight="1" x14ac:dyDescent="0.25">
      <c r="A3" s="20" t="s">
        <v>43</v>
      </c>
      <c r="B3" s="20"/>
      <c r="D3" s="20" t="s">
        <v>73</v>
      </c>
      <c r="E3" s="20"/>
      <c r="G3" s="20" t="s">
        <v>97</v>
      </c>
      <c r="H3" s="20"/>
    </row>
    <row r="4" spans="1:8" ht="15" customHeight="1" x14ac:dyDescent="0.25">
      <c r="A4" s="20" t="s">
        <v>45</v>
      </c>
      <c r="B4" s="20"/>
      <c r="D4" s="20" t="s">
        <v>74</v>
      </c>
      <c r="E4" s="20"/>
      <c r="G4" s="20" t="s">
        <v>96</v>
      </c>
      <c r="H4" s="20"/>
    </row>
    <row r="5" spans="1:8" ht="15" customHeight="1" x14ac:dyDescent="0.25">
      <c r="A5" s="20" t="s">
        <v>44</v>
      </c>
      <c r="B5" s="20"/>
      <c r="D5" s="20" t="s">
        <v>75</v>
      </c>
      <c r="E5" s="20"/>
      <c r="G5" s="20" t="s">
        <v>104</v>
      </c>
      <c r="H5" s="20"/>
    </row>
    <row r="6" spans="1:8" ht="15.75" thickBot="1" x14ac:dyDescent="0.3"/>
    <row r="7" spans="1:8" x14ac:dyDescent="0.25">
      <c r="A7" t="s">
        <v>2</v>
      </c>
      <c r="B7" s="37" t="s">
        <v>6</v>
      </c>
      <c r="D7" t="s">
        <v>2</v>
      </c>
      <c r="E7" s="1" t="s">
        <v>131</v>
      </c>
      <c r="G7" t="s">
        <v>2</v>
      </c>
      <c r="H7" s="1" t="s">
        <v>139</v>
      </c>
    </row>
    <row r="8" spans="1:8" x14ac:dyDescent="0.25">
      <c r="B8" s="4"/>
      <c r="E8" s="4"/>
      <c r="H8" s="4"/>
    </row>
    <row r="9" spans="1:8" x14ac:dyDescent="0.25">
      <c r="B9" s="2" t="s">
        <v>112</v>
      </c>
      <c r="E9" s="2" t="s">
        <v>7</v>
      </c>
      <c r="H9" s="2" t="s">
        <v>140</v>
      </c>
    </row>
    <row r="10" spans="1:8" x14ac:dyDescent="0.25">
      <c r="B10" s="2" t="s">
        <v>113</v>
      </c>
      <c r="E10" s="4" t="s">
        <v>4</v>
      </c>
      <c r="H10" s="4"/>
    </row>
    <row r="11" spans="1:8" x14ac:dyDescent="0.25">
      <c r="B11" s="2" t="s">
        <v>114</v>
      </c>
      <c r="E11" s="4" t="s">
        <v>132</v>
      </c>
      <c r="H11" s="4" t="s">
        <v>141</v>
      </c>
    </row>
    <row r="12" spans="1:8" x14ac:dyDescent="0.25">
      <c r="B12" s="2" t="s">
        <v>115</v>
      </c>
      <c r="E12" s="4" t="s">
        <v>133</v>
      </c>
      <c r="H12" s="4" t="s">
        <v>142</v>
      </c>
    </row>
    <row r="13" spans="1:8" x14ac:dyDescent="0.25">
      <c r="B13" s="4"/>
      <c r="E13" s="4"/>
      <c r="H13" s="4" t="s">
        <v>143</v>
      </c>
    </row>
    <row r="14" spans="1:8" x14ac:dyDescent="0.25">
      <c r="B14" s="38" t="s">
        <v>116</v>
      </c>
      <c r="E14" s="4" t="s">
        <v>134</v>
      </c>
      <c r="H14" s="4"/>
    </row>
    <row r="15" spans="1:8" x14ac:dyDescent="0.25">
      <c r="B15" s="9"/>
      <c r="E15" s="4" t="s">
        <v>135</v>
      </c>
      <c r="H15" s="4" t="s">
        <v>144</v>
      </c>
    </row>
    <row r="16" spans="1:8" x14ac:dyDescent="0.25">
      <c r="B16" s="38" t="s">
        <v>117</v>
      </c>
      <c r="E16" s="4" t="s">
        <v>9</v>
      </c>
      <c r="H16" s="4"/>
    </row>
    <row r="17" spans="2:8" x14ac:dyDescent="0.25">
      <c r="B17" s="9" t="s">
        <v>118</v>
      </c>
      <c r="E17" s="4" t="s">
        <v>136</v>
      </c>
      <c r="H17" s="4" t="s">
        <v>145</v>
      </c>
    </row>
    <row r="18" spans="2:8" x14ac:dyDescent="0.25">
      <c r="B18" s="9" t="s">
        <v>119</v>
      </c>
      <c r="E18" s="4" t="s">
        <v>5</v>
      </c>
      <c r="H18" s="4" t="s">
        <v>146</v>
      </c>
    </row>
    <row r="19" spans="2:8" x14ac:dyDescent="0.25">
      <c r="B19" s="9" t="s">
        <v>120</v>
      </c>
      <c r="E19" s="2" t="s">
        <v>137</v>
      </c>
      <c r="H19" s="4" t="s">
        <v>147</v>
      </c>
    </row>
    <row r="20" spans="2:8" x14ac:dyDescent="0.25">
      <c r="B20" s="9" t="s">
        <v>121</v>
      </c>
      <c r="E20" s="4" t="s">
        <v>4</v>
      </c>
      <c r="H20" s="4" t="s">
        <v>148</v>
      </c>
    </row>
    <row r="21" spans="2:8" x14ac:dyDescent="0.25">
      <c r="B21" s="9" t="s">
        <v>122</v>
      </c>
      <c r="E21" s="4" t="s">
        <v>138</v>
      </c>
      <c r="H21" s="4"/>
    </row>
    <row r="22" spans="2:8" x14ac:dyDescent="0.25">
      <c r="B22" s="38" t="s">
        <v>123</v>
      </c>
      <c r="E22" s="4" t="s">
        <v>5</v>
      </c>
      <c r="H22" s="2" t="s">
        <v>103</v>
      </c>
    </row>
    <row r="23" spans="2:8" x14ac:dyDescent="0.25">
      <c r="B23" s="10" t="s">
        <v>124</v>
      </c>
      <c r="E23" s="3"/>
      <c r="H23" s="3"/>
    </row>
    <row r="24" spans="2:8" x14ac:dyDescent="0.25">
      <c r="B24" s="9" t="s">
        <v>4</v>
      </c>
      <c r="E24" s="3"/>
      <c r="H24" s="3"/>
    </row>
    <row r="25" spans="2:8" x14ac:dyDescent="0.25">
      <c r="B25" s="9" t="s">
        <v>125</v>
      </c>
      <c r="E25" s="3"/>
      <c r="H25" s="3"/>
    </row>
    <row r="26" spans="2:8" x14ac:dyDescent="0.25">
      <c r="B26" s="9" t="s">
        <v>126</v>
      </c>
      <c r="E26" s="3"/>
      <c r="H26" s="3"/>
    </row>
    <row r="27" spans="2:8" x14ac:dyDescent="0.25">
      <c r="B27" s="9" t="s">
        <v>127</v>
      </c>
      <c r="E27" s="3"/>
      <c r="H27" s="3"/>
    </row>
    <row r="28" spans="2:8" x14ac:dyDescent="0.25">
      <c r="B28" s="9" t="s">
        <v>128</v>
      </c>
      <c r="E28" s="3"/>
      <c r="H28" s="3"/>
    </row>
    <row r="29" spans="2:8" x14ac:dyDescent="0.25">
      <c r="B29" s="9" t="s">
        <v>129</v>
      </c>
      <c r="E29" s="3"/>
      <c r="H29" s="3"/>
    </row>
    <row r="30" spans="2:8" x14ac:dyDescent="0.25">
      <c r="B30" s="9" t="s">
        <v>5</v>
      </c>
      <c r="E30" s="3"/>
      <c r="H30" s="3"/>
    </row>
    <row r="31" spans="2:8" x14ac:dyDescent="0.25">
      <c r="B31" s="9"/>
      <c r="E31" s="3"/>
      <c r="H31" s="3"/>
    </row>
    <row r="32" spans="2:8" ht="15.75" thickBot="1" x14ac:dyDescent="0.3">
      <c r="B32" s="12" t="s">
        <v>130</v>
      </c>
      <c r="E32" s="6"/>
      <c r="H32" s="6"/>
    </row>
    <row r="34" spans="1:8" x14ac:dyDescent="0.25">
      <c r="A34" s="16" t="s">
        <v>46</v>
      </c>
      <c r="B34" s="16"/>
      <c r="D34" s="16" t="s">
        <v>46</v>
      </c>
      <c r="E34" s="16"/>
      <c r="G34" s="16" t="s">
        <v>46</v>
      </c>
      <c r="H34" s="16"/>
    </row>
    <row r="35" spans="1:8" x14ac:dyDescent="0.25">
      <c r="B35" t="s">
        <v>48</v>
      </c>
      <c r="E35" t="str">
        <f>_xll.ExcelScript.Parameter.Create("IpAddress","string",,,"The IP address which to ping")</f>
        <v>IpAddress:1</v>
      </c>
      <c r="H35" t="str">
        <f>_xll.ExcelScript.Parameter.Create("SomeRange","Range",,,"Some input range")</f>
        <v>SomeRange:1</v>
      </c>
    </row>
    <row r="36" spans="1:8" x14ac:dyDescent="0.25">
      <c r="E36" t="str">
        <f>_xll.ExcelScript.Parameter.Create("PingTimeout","int",,,"Timeout of the request in ms")</f>
        <v>PingTimeout:1</v>
      </c>
      <c r="H36" t="str">
        <f>_xll.ExcelScript.Parameter.Create("SomeString","string",,,"Some input string")</f>
        <v>SomeString:1</v>
      </c>
    </row>
    <row r="38" spans="1:8" x14ac:dyDescent="0.25">
      <c r="A38" s="16" t="s">
        <v>10</v>
      </c>
      <c r="B38" s="16"/>
      <c r="D38" s="16" t="s">
        <v>10</v>
      </c>
      <c r="E38" s="16"/>
      <c r="G38" s="16" t="s">
        <v>10</v>
      </c>
      <c r="H38" s="16"/>
    </row>
    <row r="39" spans="1:8" x14ac:dyDescent="0.25">
      <c r="B39" t="str">
        <f>_xll.ExcelScript.Create("DateTimeScript",B7:B32)</f>
        <v>DateTimeScript:1</v>
      </c>
      <c r="E39" t="str">
        <f>_xll.ExcelScript.Create("PingScript",E7:E32,,E35,E36)</f>
        <v>PingScript:1</v>
      </c>
      <c r="H39" t="str">
        <f>_xll.ExcelScript.Create("RangeScript",H7:H32,,H35,H36)</f>
        <v>RangeScript:1</v>
      </c>
    </row>
    <row r="41" spans="1:8" x14ac:dyDescent="0.25">
      <c r="A41" s="16" t="s">
        <v>47</v>
      </c>
      <c r="B41" s="16"/>
      <c r="D41" s="16" t="s">
        <v>47</v>
      </c>
      <c r="E41" s="16"/>
      <c r="G41" s="16" t="s">
        <v>47</v>
      </c>
      <c r="H41" s="16"/>
    </row>
    <row r="42" spans="1:8" x14ac:dyDescent="0.25">
      <c r="A42" s="21"/>
      <c r="B42" s="21" t="str">
        <f>_xll.ExcelScript.Run(B39)</f>
        <v>18.12.2016 15:45:13</v>
      </c>
      <c r="D42" s="21"/>
      <c r="E42" s="21" t="str">
        <f>_xll.ExcelScript.Run(E39,E43,E44)</f>
        <v>18.12.2016 15:45:16 - Status: Success (15ms) from 8.8.8.8</v>
      </c>
      <c r="G42" s="21"/>
      <c r="H42" s="33" t="str">
        <f>_xll.ExcelScript.Run(H39,H43,H43)</f>
        <v>SomeString value = Test type = System.String  -  SomeRange address = $H$43 value = Test type = NetOffice.ExcelApi.Range</v>
      </c>
    </row>
    <row r="43" spans="1:8" x14ac:dyDescent="0.25">
      <c r="A43" s="21"/>
      <c r="B43" s="21"/>
      <c r="D43" s="21" t="s">
        <v>49</v>
      </c>
      <c r="E43" s="21" t="s">
        <v>8</v>
      </c>
      <c r="G43" s="21" t="s">
        <v>95</v>
      </c>
      <c r="H43" s="21" t="s">
        <v>105</v>
      </c>
    </row>
    <row r="44" spans="1:8" x14ac:dyDescent="0.25">
      <c r="A44" s="21"/>
      <c r="B44" s="21"/>
      <c r="D44" s="21" t="s">
        <v>50</v>
      </c>
      <c r="E44" s="22">
        <v>1000</v>
      </c>
      <c r="G44" s="21"/>
      <c r="H44" s="22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reateAndRun_1">
                <anchor moveWithCells="1" sizeWithCells="1">
                  <from>
                    <xdr:col>0</xdr:col>
                    <xdr:colOff>38100</xdr:colOff>
                    <xdr:row>1</xdr:row>
                    <xdr:rowOff>85725</xdr:rowOff>
                  </from>
                  <to>
                    <xdr:col>1</xdr:col>
                    <xdr:colOff>1304925</xdr:colOff>
                    <xdr:row>1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CreateAndRun_2">
                <anchor moveWithCells="1" sizeWithCells="1">
                  <from>
                    <xdr:col>3</xdr:col>
                    <xdr:colOff>38100</xdr:colOff>
                    <xdr:row>1</xdr:row>
                    <xdr:rowOff>85725</xdr:rowOff>
                  </from>
                  <to>
                    <xdr:col>4</xdr:col>
                    <xdr:colOff>1304925</xdr:colOff>
                    <xdr:row>1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CreateAndRun_3">
                <anchor moveWithCells="1" sizeWithCells="1">
                  <from>
                    <xdr:col>6</xdr:col>
                    <xdr:colOff>38100</xdr:colOff>
                    <xdr:row>1</xdr:row>
                    <xdr:rowOff>85725</xdr:rowOff>
                  </from>
                  <to>
                    <xdr:col>7</xdr:col>
                    <xdr:colOff>1304925</xdr:colOff>
                    <xdr:row>1</xdr:row>
                    <xdr:rowOff>390525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F44"/>
  <sheetViews>
    <sheetView workbookViewId="0"/>
  </sheetViews>
  <sheetFormatPr defaultRowHeight="15" x14ac:dyDescent="0.25"/>
  <cols>
    <col min="1" max="1" width="12.85546875" customWidth="1"/>
    <col min="2" max="2" width="107.85546875" customWidth="1"/>
    <col min="4" max="4" width="13" customWidth="1"/>
    <col min="5" max="5" width="107.85546875" customWidth="1"/>
  </cols>
  <sheetData>
    <row r="1" spans="1:5" ht="26.25" x14ac:dyDescent="0.4">
      <c r="A1" s="19" t="s">
        <v>35</v>
      </c>
      <c r="B1" s="20"/>
      <c r="D1" s="19" t="s">
        <v>36</v>
      </c>
      <c r="E1" s="20"/>
    </row>
    <row r="2" spans="1:5" ht="37.5" customHeight="1" x14ac:dyDescent="0.4">
      <c r="A2" s="19"/>
      <c r="B2" s="20"/>
      <c r="D2" s="19"/>
      <c r="E2" s="20"/>
    </row>
    <row r="3" spans="1:5" x14ac:dyDescent="0.25">
      <c r="A3" s="20" t="s">
        <v>33</v>
      </c>
      <c r="B3" s="20"/>
      <c r="D3" s="20" t="s">
        <v>39</v>
      </c>
      <c r="E3" s="20"/>
    </row>
    <row r="4" spans="1:5" x14ac:dyDescent="0.25">
      <c r="A4" s="20" t="s">
        <v>34</v>
      </c>
      <c r="B4" s="20"/>
      <c r="D4" s="20" t="s">
        <v>98</v>
      </c>
      <c r="E4" s="20"/>
    </row>
    <row r="5" spans="1:5" x14ac:dyDescent="0.25">
      <c r="A5" s="20"/>
      <c r="B5" s="20"/>
      <c r="D5" s="20" t="s">
        <v>99</v>
      </c>
      <c r="E5" s="20"/>
    </row>
    <row r="6" spans="1:5" ht="15.75" thickBot="1" x14ac:dyDescent="0.3"/>
    <row r="7" spans="1:5" x14ac:dyDescent="0.25">
      <c r="A7" t="s">
        <v>2</v>
      </c>
      <c r="B7" s="1" t="s">
        <v>139</v>
      </c>
      <c r="D7" t="s">
        <v>2</v>
      </c>
      <c r="E7" s="1" t="s">
        <v>131</v>
      </c>
    </row>
    <row r="8" spans="1:5" x14ac:dyDescent="0.25">
      <c r="B8" s="4"/>
      <c r="E8" s="4"/>
    </row>
    <row r="9" spans="1:5" x14ac:dyDescent="0.25">
      <c r="B9" s="2" t="s">
        <v>149</v>
      </c>
      <c r="E9" s="39" t="s">
        <v>101</v>
      </c>
    </row>
    <row r="10" spans="1:5" x14ac:dyDescent="0.25">
      <c r="B10" s="4" t="s">
        <v>4</v>
      </c>
      <c r="E10" s="39" t="s">
        <v>102</v>
      </c>
    </row>
    <row r="11" spans="1:5" x14ac:dyDescent="0.25">
      <c r="B11" s="4" t="s">
        <v>150</v>
      </c>
      <c r="E11" s="4" t="s">
        <v>58</v>
      </c>
    </row>
    <row r="12" spans="1:5" x14ac:dyDescent="0.25">
      <c r="B12" s="4"/>
      <c r="E12" s="2" t="s">
        <v>37</v>
      </c>
    </row>
    <row r="13" spans="1:5" x14ac:dyDescent="0.25">
      <c r="B13" s="4" t="s">
        <v>151</v>
      </c>
      <c r="E13" s="4" t="s">
        <v>160</v>
      </c>
    </row>
    <row r="14" spans="1:5" x14ac:dyDescent="0.25">
      <c r="B14" s="4" t="s">
        <v>152</v>
      </c>
      <c r="E14" s="4" t="s">
        <v>161</v>
      </c>
    </row>
    <row r="15" spans="1:5" x14ac:dyDescent="0.25">
      <c r="B15" s="4" t="s">
        <v>153</v>
      </c>
      <c r="E15" s="4" t="s">
        <v>4</v>
      </c>
    </row>
    <row r="16" spans="1:5" x14ac:dyDescent="0.25">
      <c r="B16" s="4"/>
      <c r="E16" s="4" t="s">
        <v>133</v>
      </c>
    </row>
    <row r="17" spans="2:5" x14ac:dyDescent="0.25">
      <c r="B17" s="4" t="s">
        <v>154</v>
      </c>
      <c r="E17" s="4"/>
    </row>
    <row r="18" spans="2:5" x14ac:dyDescent="0.25">
      <c r="B18" s="4"/>
      <c r="E18" s="4" t="s">
        <v>134</v>
      </c>
    </row>
    <row r="19" spans="2:5" x14ac:dyDescent="0.25">
      <c r="B19" s="4" t="s">
        <v>155</v>
      </c>
      <c r="E19" s="4" t="s">
        <v>162</v>
      </c>
    </row>
    <row r="20" spans="2:5" x14ac:dyDescent="0.25">
      <c r="B20" s="4" t="s">
        <v>156</v>
      </c>
      <c r="E20" s="4" t="s">
        <v>9</v>
      </c>
    </row>
    <row r="21" spans="2:5" x14ac:dyDescent="0.25">
      <c r="B21" s="4" t="s">
        <v>157</v>
      </c>
      <c r="E21" s="4" t="s">
        <v>136</v>
      </c>
    </row>
    <row r="22" spans="2:5" x14ac:dyDescent="0.25">
      <c r="B22" s="4" t="s">
        <v>158</v>
      </c>
      <c r="E22" s="4" t="s">
        <v>5</v>
      </c>
    </row>
    <row r="23" spans="2:5" x14ac:dyDescent="0.25">
      <c r="B23" s="4"/>
      <c r="E23" s="4"/>
    </row>
    <row r="24" spans="2:5" x14ac:dyDescent="0.25">
      <c r="B24" s="4" t="s">
        <v>159</v>
      </c>
      <c r="E24" s="2" t="s">
        <v>163</v>
      </c>
    </row>
    <row r="25" spans="2:5" x14ac:dyDescent="0.25">
      <c r="B25" s="4" t="s">
        <v>5</v>
      </c>
      <c r="E25" s="4" t="s">
        <v>4</v>
      </c>
    </row>
    <row r="26" spans="2:5" x14ac:dyDescent="0.25">
      <c r="B26" s="3"/>
      <c r="E26" s="4" t="s">
        <v>164</v>
      </c>
    </row>
    <row r="27" spans="2:5" x14ac:dyDescent="0.25">
      <c r="B27" s="4"/>
      <c r="E27" s="4" t="s">
        <v>5</v>
      </c>
    </row>
    <row r="28" spans="2:5" x14ac:dyDescent="0.25">
      <c r="B28" s="3"/>
      <c r="E28" s="3"/>
    </row>
    <row r="29" spans="2:5" x14ac:dyDescent="0.25">
      <c r="B29" s="3"/>
      <c r="E29" s="3"/>
    </row>
    <row r="30" spans="2:5" x14ac:dyDescent="0.25">
      <c r="B30" s="3"/>
      <c r="E30" s="3"/>
    </row>
    <row r="31" spans="2:5" x14ac:dyDescent="0.25">
      <c r="B31" s="3"/>
      <c r="E31" s="3"/>
    </row>
    <row r="32" spans="2:5" ht="15.75" thickBot="1" x14ac:dyDescent="0.3">
      <c r="B32" s="6"/>
      <c r="E32" s="6"/>
    </row>
    <row r="34" spans="1:6" x14ac:dyDescent="0.25">
      <c r="A34" s="16" t="s">
        <v>46</v>
      </c>
      <c r="B34" s="16"/>
      <c r="D34" s="16" t="s">
        <v>46</v>
      </c>
      <c r="E34" s="16"/>
    </row>
    <row r="35" spans="1:6" x14ac:dyDescent="0.25">
      <c r="B35" t="s">
        <v>52</v>
      </c>
      <c r="E35" t="s">
        <v>52</v>
      </c>
    </row>
    <row r="38" spans="1:6" x14ac:dyDescent="0.25">
      <c r="A38" s="16" t="s">
        <v>51</v>
      </c>
      <c r="B38" s="16"/>
      <c r="D38" s="16" t="s">
        <v>51</v>
      </c>
      <c r="E38" s="16"/>
    </row>
    <row r="39" spans="1:6" x14ac:dyDescent="0.25">
      <c r="B39" s="18" t="str">
        <f>_xll.ExcelScript.Parse(B7:B32)</f>
        <v>ParsedRangeScript:1</v>
      </c>
      <c r="C39" t="s">
        <v>53</v>
      </c>
      <c r="E39" t="str">
        <f>_xll.ExcelScript.Parse(E7:E32)</f>
        <v>AnotherPingScript:1</v>
      </c>
      <c r="F39" t="s">
        <v>53</v>
      </c>
    </row>
    <row r="41" spans="1:6" x14ac:dyDescent="0.25">
      <c r="A41" s="16" t="s">
        <v>47</v>
      </c>
      <c r="B41" s="16"/>
      <c r="D41" s="16" t="s">
        <v>47</v>
      </c>
      <c r="E41" s="16"/>
    </row>
    <row r="42" spans="1:6" x14ac:dyDescent="0.25">
      <c r="A42" s="21"/>
      <c r="B42" s="33" t="str">
        <f>_xll.ExcelScript.Run(B39,B43,B43)</f>
        <v>SomeString value = Test type = System.String  -  SomeRange address = $B$43 value = Test type = NetOffice.ExcelApi.Range</v>
      </c>
      <c r="C42" t="s">
        <v>53</v>
      </c>
      <c r="D42" s="21"/>
      <c r="E42" s="21" t="str">
        <f>_xll.ExcelScript.Run(E39,E43,E44)</f>
        <v>18.12.2016 15:45:23 - Status: Success (14ms) from 8.8.8.8</v>
      </c>
      <c r="F42" t="s">
        <v>53</v>
      </c>
    </row>
    <row r="43" spans="1:6" x14ac:dyDescent="0.25">
      <c r="A43" s="21" t="s">
        <v>95</v>
      </c>
      <c r="B43" s="21" t="s">
        <v>105</v>
      </c>
      <c r="D43" s="21" t="s">
        <v>49</v>
      </c>
      <c r="E43" s="21" t="s">
        <v>8</v>
      </c>
    </row>
    <row r="44" spans="1:6" x14ac:dyDescent="0.25">
      <c r="A44" s="21"/>
      <c r="B44" s="22"/>
      <c r="D44" s="21" t="s">
        <v>50</v>
      </c>
      <c r="E44" s="22">
        <v>1000</v>
      </c>
    </row>
  </sheetData>
  <hyperlinks>
    <hyperlink ref="B49" r:id="rId1" display="www.yahoo.com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Parse_1">
                <anchor moveWithCells="1" sizeWithCells="1">
                  <from>
                    <xdr:col>0</xdr:col>
                    <xdr:colOff>38100</xdr:colOff>
                    <xdr:row>1</xdr:row>
                    <xdr:rowOff>85725</xdr:rowOff>
                  </from>
                  <to>
                    <xdr:col>1</xdr:col>
                    <xdr:colOff>1295400</xdr:colOff>
                    <xdr:row>1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Parse_2">
                <anchor moveWithCells="1" sizeWithCells="1">
                  <from>
                    <xdr:col>3</xdr:col>
                    <xdr:colOff>38100</xdr:colOff>
                    <xdr:row>1</xdr:row>
                    <xdr:rowOff>85725</xdr:rowOff>
                  </from>
                  <to>
                    <xdr:col>4</xdr:col>
                    <xdr:colOff>1295400</xdr:colOff>
                    <xdr:row>1</xdr:row>
                    <xdr:rowOff>390525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E50"/>
  <sheetViews>
    <sheetView workbookViewId="0"/>
  </sheetViews>
  <sheetFormatPr defaultRowHeight="15" x14ac:dyDescent="0.25"/>
  <cols>
    <col min="1" max="1" width="12.85546875" customWidth="1"/>
    <col min="2" max="2" width="107.85546875" customWidth="1"/>
    <col min="4" max="4" width="12.85546875" customWidth="1"/>
    <col min="5" max="5" width="107.85546875" customWidth="1"/>
  </cols>
  <sheetData>
    <row r="1" spans="1:5" ht="26.25" x14ac:dyDescent="0.4">
      <c r="A1" s="19" t="s">
        <v>31</v>
      </c>
      <c r="B1" s="20"/>
      <c r="D1" s="19" t="s">
        <v>32</v>
      </c>
      <c r="E1" s="20"/>
    </row>
    <row r="2" spans="1:5" ht="37.5" customHeight="1" x14ac:dyDescent="0.4">
      <c r="A2" s="19"/>
      <c r="B2" s="20"/>
      <c r="D2" s="19"/>
      <c r="E2" s="20"/>
    </row>
    <row r="3" spans="1:5" ht="15" customHeight="1" x14ac:dyDescent="0.25">
      <c r="A3" s="20" t="s">
        <v>65</v>
      </c>
      <c r="B3" s="20"/>
      <c r="D3" s="20" t="s">
        <v>66</v>
      </c>
      <c r="E3" s="20"/>
    </row>
    <row r="4" spans="1:5" ht="15" customHeight="1" x14ac:dyDescent="0.4">
      <c r="A4" s="34"/>
      <c r="B4" s="35"/>
      <c r="D4" s="19"/>
      <c r="E4" s="20"/>
    </row>
    <row r="5" spans="1:5" ht="15" customHeight="1" x14ac:dyDescent="0.4">
      <c r="A5" s="34"/>
      <c r="B5" s="35"/>
      <c r="D5" s="19"/>
      <c r="E5" s="20"/>
    </row>
    <row r="6" spans="1:5" ht="15.75" thickBot="1" x14ac:dyDescent="0.3"/>
    <row r="7" spans="1:5" x14ac:dyDescent="0.25">
      <c r="A7" t="s">
        <v>2</v>
      </c>
      <c r="B7" s="1" t="s">
        <v>131</v>
      </c>
      <c r="D7" t="s">
        <v>55</v>
      </c>
      <c r="E7" s="42" t="str">
        <f>B47</f>
        <v>&lt;?xml version="1.0" encoding="utf-16"?&gt;_x000D_
&lt;CompressedData Algorithm="gzip"&gt;H4sIAAAAAAAEAO1YW0/bMBR+n7T/4HXTVKSSFkoLjJSpo7tUmygiiD1MaHOTE5bh2JntDDrU/z47zq2QXRjdiKZR0Sb2l3O+c/Hxie2nFyFBX4CLgNFBY83qNBBQl3kBPR00YumvrvUbT3fv37Md4AEmwVcsFfItx1EEXI0jZO8xKnFAwZtMP4Er0dEsgkHD3DiScXwKlv7NAB/W3r1zXB5EUikZToXk2NVChTU2wy1UOd1CxylPRVN/WmgvJjLmMKAQKxhpoYN4SgL3NcyO2BnQAY0JOTlpoQUyvymnsWuXrZj4KVvjhH0cAjrGJFamHyjiZk4909YzBpOqzWDrejYdM4AFBx4yQWY094RlrrTzyjMvCZtiIqz0t4UqJm/huCskbuG6RMTETykZew9BPUq1uZlPnJmQEFrGES0UCpdxEkwLvRu/qne6uYl7bq+/tt3dgM7WtnZ2oc/oP8BcBUcq0cm9Ghkr7d/xfw5eoldymdeTaBwNPY+DEIs5VOEsR/KExJKdVbhpLCaRXoGYZJpfqBCCBhVTBjoCHytdCSz1Y8py9Gxf2bxslkYqaisqZdUZGWFCVKy5RgLMh3VhaxdBUPYoqvXLBV1QjoIQWCx/mg1jKrvr/5NhqclQGhbZnufljo+FCg9KLdsHqf/PGT8bU5/xMNkvdx4/vBjpr2HpSiTrFhW7RTMdyZd+CwVUolL0V4qnL4tLna0adAgRmSGefA8QhfNktLliOUC9ZklqWWIlNS0x8FHTyHqghCnHrizO6z+eFFT06PHnmMmdyxGWoOVa++x8jlaRI7GMxRN0mcixzO0cNdP7QxZTT5kc6WfmoVhBPmdhhk7Zzo3sK+RApdx1OvIjZ+eJ4WP6RTUr3kQ1KUkAnl+4kAS5WTZ4XmV7alMpLDfx3F1d6VzWSXmDZFe48H1euMzSFdk6rezProKX26jlXUKhIGsTfOCqK4WqbfqPboJmQe4uUajdTmV+d6/5GwYZHf+YOdae6s7/GZuW18fXwx5dgckwCspGbFrdXxG63nf9vrfVm+L+lo97GzUyaESx7rjg1GwzhYKO1e1avc1ux9rodLdvESn91rJQ/uxxGDEu76oWGh31CEG+7gmBdIt6CRR44NaK35uAfq4HIdWZTnw/cKFmdKysOtSMVz3oVFWa6lJRLg32KyZ0K5W8I/6oqyvhlt7QlWTvOh8xB8/B1Juyi2EUjViIA2VIGbN4p1/IrrWEdvt611pCFkdMdtscI5nJyqM73TMvHF4abNVR5zfR8V6CKhUAAA==&lt;/CompressedData&gt;</v>
      </c>
    </row>
    <row r="8" spans="1:5" x14ac:dyDescent="0.25">
      <c r="B8" s="4"/>
      <c r="E8" s="43"/>
    </row>
    <row r="9" spans="1:5" x14ac:dyDescent="0.25">
      <c r="B9" s="2" t="s">
        <v>165</v>
      </c>
      <c r="E9" s="43"/>
    </row>
    <row r="10" spans="1:5" x14ac:dyDescent="0.25">
      <c r="B10" s="4" t="s">
        <v>4</v>
      </c>
      <c r="E10" s="43"/>
    </row>
    <row r="11" spans="1:5" x14ac:dyDescent="0.25">
      <c r="B11" s="4" t="s">
        <v>133</v>
      </c>
      <c r="E11" s="43"/>
    </row>
    <row r="12" spans="1:5" x14ac:dyDescent="0.25">
      <c r="B12" s="4"/>
      <c r="E12" s="43"/>
    </row>
    <row r="13" spans="1:5" x14ac:dyDescent="0.25">
      <c r="B13" s="4" t="s">
        <v>134</v>
      </c>
      <c r="E13" s="43"/>
    </row>
    <row r="14" spans="1:5" x14ac:dyDescent="0.25">
      <c r="B14" s="4" t="s">
        <v>135</v>
      </c>
      <c r="E14" s="43"/>
    </row>
    <row r="15" spans="1:5" x14ac:dyDescent="0.25">
      <c r="B15" s="4" t="s">
        <v>9</v>
      </c>
      <c r="E15" s="43"/>
    </row>
    <row r="16" spans="1:5" x14ac:dyDescent="0.25">
      <c r="B16" s="4" t="s">
        <v>136</v>
      </c>
      <c r="E16" s="43"/>
    </row>
    <row r="17" spans="2:5" x14ac:dyDescent="0.25">
      <c r="B17" s="4" t="s">
        <v>5</v>
      </c>
      <c r="E17" s="43"/>
    </row>
    <row r="18" spans="2:5" x14ac:dyDescent="0.25">
      <c r="B18" s="4"/>
      <c r="E18" s="43"/>
    </row>
    <row r="19" spans="2:5" x14ac:dyDescent="0.25">
      <c r="B19" s="2"/>
      <c r="E19" s="43"/>
    </row>
    <row r="20" spans="2:5" x14ac:dyDescent="0.25">
      <c r="B20" s="4"/>
      <c r="E20" s="43"/>
    </row>
    <row r="21" spans="2:5" x14ac:dyDescent="0.25">
      <c r="B21" s="3"/>
      <c r="E21" s="43"/>
    </row>
    <row r="22" spans="2:5" x14ac:dyDescent="0.25">
      <c r="B22" s="4"/>
      <c r="E22" s="43"/>
    </row>
    <row r="23" spans="2:5" x14ac:dyDescent="0.25">
      <c r="B23" s="3"/>
      <c r="E23" s="43"/>
    </row>
    <row r="24" spans="2:5" x14ac:dyDescent="0.25">
      <c r="B24" s="3"/>
      <c r="E24" s="43"/>
    </row>
    <row r="25" spans="2:5" x14ac:dyDescent="0.25">
      <c r="B25" s="3"/>
      <c r="E25" s="43"/>
    </row>
    <row r="26" spans="2:5" x14ac:dyDescent="0.25">
      <c r="B26" s="3"/>
      <c r="E26" s="43"/>
    </row>
    <row r="27" spans="2:5" x14ac:dyDescent="0.25">
      <c r="B27" s="3"/>
      <c r="E27" s="43"/>
    </row>
    <row r="28" spans="2:5" x14ac:dyDescent="0.25">
      <c r="B28" s="3"/>
      <c r="E28" s="43"/>
    </row>
    <row r="29" spans="2:5" x14ac:dyDescent="0.25">
      <c r="B29" s="3"/>
      <c r="E29" s="43"/>
    </row>
    <row r="30" spans="2:5" x14ac:dyDescent="0.25">
      <c r="B30" s="3"/>
      <c r="E30" s="43"/>
    </row>
    <row r="31" spans="2:5" x14ac:dyDescent="0.25">
      <c r="B31" s="3"/>
      <c r="E31" s="43"/>
    </row>
    <row r="32" spans="2:5" ht="15.75" thickBot="1" x14ac:dyDescent="0.3">
      <c r="B32" s="6"/>
      <c r="E32" s="44"/>
    </row>
    <row r="34" spans="1:5" ht="15" customHeight="1" x14ac:dyDescent="0.25">
      <c r="A34" s="16" t="s">
        <v>46</v>
      </c>
      <c r="B34" s="16"/>
      <c r="C34" t="s">
        <v>53</v>
      </c>
      <c r="D34" s="16" t="s">
        <v>46</v>
      </c>
      <c r="E34" s="16"/>
    </row>
    <row r="35" spans="1:5" ht="15" customHeight="1" x14ac:dyDescent="0.25">
      <c r="B35" t="s">
        <v>52</v>
      </c>
      <c r="C35" t="s">
        <v>53</v>
      </c>
      <c r="E35" t="s">
        <v>52</v>
      </c>
    </row>
    <row r="36" spans="1:5" ht="15" customHeight="1" x14ac:dyDescent="0.25">
      <c r="C36" t="s">
        <v>53</v>
      </c>
    </row>
    <row r="37" spans="1:5" ht="15" customHeight="1" x14ac:dyDescent="0.25">
      <c r="C37" t="s">
        <v>53</v>
      </c>
    </row>
    <row r="38" spans="1:5" ht="15" customHeight="1" x14ac:dyDescent="0.25">
      <c r="A38" s="16" t="s">
        <v>51</v>
      </c>
      <c r="B38" s="16"/>
      <c r="C38" t="s">
        <v>53</v>
      </c>
      <c r="D38" s="16" t="s">
        <v>56</v>
      </c>
      <c r="E38" s="16"/>
    </row>
    <row r="39" spans="1:5" ht="15" customHeight="1" x14ac:dyDescent="0.25">
      <c r="B39" t="str">
        <f>_xll.ExcelScript.Parse(B7:B32)</f>
        <v>PingScript:2</v>
      </c>
      <c r="C39" t="s">
        <v>53</v>
      </c>
      <c r="D39" s="21"/>
      <c r="E39" s="21" t="str">
        <f>_xll.ExcelScript.Deserialize(E7)</f>
        <v>PingScript:4</v>
      </c>
    </row>
    <row r="40" spans="1:5" x14ac:dyDescent="0.25">
      <c r="C40" t="s">
        <v>53</v>
      </c>
    </row>
    <row r="41" spans="1:5" x14ac:dyDescent="0.25">
      <c r="A41" s="16" t="s">
        <v>47</v>
      </c>
      <c r="B41" s="16"/>
      <c r="C41" t="s">
        <v>53</v>
      </c>
      <c r="D41" s="16" t="s">
        <v>47</v>
      </c>
      <c r="E41" s="16"/>
    </row>
    <row r="42" spans="1:5" x14ac:dyDescent="0.25">
      <c r="B42" t="s">
        <v>54</v>
      </c>
      <c r="C42" t="s">
        <v>53</v>
      </c>
      <c r="D42" s="21"/>
      <c r="E42" s="21" t="str">
        <f>_xll.ExcelScript.Run(E39,E43,E44)</f>
        <v>18.12.2016 15:45:27 - Status: Success (13ms) from 8.8.8.8</v>
      </c>
    </row>
    <row r="43" spans="1:5" x14ac:dyDescent="0.25">
      <c r="C43" t="s">
        <v>53</v>
      </c>
      <c r="D43" s="21" t="s">
        <v>49</v>
      </c>
      <c r="E43" s="21" t="s">
        <v>8</v>
      </c>
    </row>
    <row r="44" spans="1:5" x14ac:dyDescent="0.25">
      <c r="C44" t="s">
        <v>53</v>
      </c>
      <c r="D44" s="21" t="s">
        <v>50</v>
      </c>
      <c r="E44" s="22">
        <v>1000</v>
      </c>
    </row>
    <row r="45" spans="1:5" x14ac:dyDescent="0.25">
      <c r="C45" t="s">
        <v>53</v>
      </c>
    </row>
    <row r="46" spans="1:5" x14ac:dyDescent="0.25">
      <c r="A46" s="16" t="s">
        <v>29</v>
      </c>
      <c r="B46" s="16"/>
      <c r="C46" t="s">
        <v>53</v>
      </c>
    </row>
    <row r="47" spans="1:5" x14ac:dyDescent="0.25">
      <c r="A47" s="21"/>
      <c r="B47" s="21" t="str">
        <f>_xll.ExcelScript.Serialize(B39,B48)</f>
        <v>&lt;?xml version="1.0" encoding="utf-16"?&gt;_x000D_
&lt;CompressedData Algorithm="gzip"&gt;H4sIAAAAAAAEAO1YW0/bMBR+n7T/4HXTVKSSFkoLjJSpo7tUmygiiD1MaHOTE5bh2JntDDrU/z47zq2QXRjdiKZR0Sb2l3O+c/Hxie2nFyFBX4CLgNFBY83qNBBQl3kBPR00YumvrvUbT3fv37Md4AEmwVcsFfItx1EEXI0jZO8xKnFAwZtMP4Er0dEsgkHD3DiScXwKlv7NAB/W3r1zXB5EUikZToXk2NVChTU2wy1UOd1CxylPRVN/WmgvJjLmMKAQKxhpoYN4SgL3NcyO2BnQAY0JOTlpoQUyvymnsWuXrZj4KVvjhH0cAjrGJFamHyjiZk4909YzBpOqzWDrejYdM4AFBx4yQWY094RlrrTzyjMvCZtiIqz0t4UqJm/huCskbuG6RMTETykZew9BPUq1uZlPnJmQEFrGES0UCpdxEkwLvRu/qne6uYl7bq+/tt3dgM7WtnZ2oc/oP8BcBUcq0cm9Ghkr7d/xfw5eoldymdeTaBwNPY+DEIs5VOEsR/KExJKdVbhpLCaRXoGYZJpfqBCCBhVTBjoCHytdCSz1Y8py9Gxf2bxslkYqaisqZdUZGWFCVKy5RgLMh3VhaxdBUPYoqvXLBV1QjoIQWCx/mg1jKrvr/5NhqclQGhbZnufljo+FCg9KLdsHqf/PGT8bU5/xMNkvdx4/vBjpr2HpSiTrFhW7RTMdyZd+CwVUolL0V4qnL4tLna0adAgRmSGefA8QhfNktLliOUC9ZklqWWIlNS0x8FHTyHqghCnHrizO6z+eFFT06PHnmMmdyxGWoOVa++x8jlaRI7GMxRN0mcixzO0cNdP7QxZTT5kc6WfmoVhBPmdhhk7Zzo3sK+RApdx1OvIjZ+eJ4WP6RTUr3kQ1KUkAnl+4kAS5WTZ4XmV7alMpLDfx3F1d6VzWSXmDZFe48H1euMzSFdk6rezProKX26jlXUKhIGsTfOCqK4WqbfqPboJmQe4uUajdTmV+d6/5GwYZHf+YOdae6s7/GZuW18fXwx5dgckwCspGbFrdXxG63nf9vrfVm+L+lo97GzUyaESx7rjg1GwzhYKO1e1avc1ux9rodLdvESn91rJQ/uxxGDEu76oWGh31CEG+7gmBdIt6CRR44NaK35uAfq4HIdWZTnw/cKFmdKysOtSMVz3oVFWa6lJRLg32KyZ0K5W8I/6oqyvhlt7QlWTvOh8xB8/B1Juyi2EUjViIA2VIGbN4p1/IrrWEdvt611pCFkdMdtscI5nJyqM73TMvHF4abNVR5zfR8V6CKhUAAA==&lt;/CompressedData&gt;</v>
      </c>
      <c r="C47" t="s">
        <v>53</v>
      </c>
    </row>
    <row r="48" spans="1:5" x14ac:dyDescent="0.25">
      <c r="A48" s="21" t="s">
        <v>30</v>
      </c>
      <c r="B48" s="23" t="b">
        <v>1</v>
      </c>
      <c r="C48" t="s">
        <v>53</v>
      </c>
    </row>
    <row r="49" spans="1:3" x14ac:dyDescent="0.25">
      <c r="A49" s="21"/>
      <c r="B49" s="21"/>
      <c r="C49" t="s">
        <v>53</v>
      </c>
    </row>
    <row r="50" spans="1:3" x14ac:dyDescent="0.25">
      <c r="C50" t="s">
        <v>53</v>
      </c>
    </row>
  </sheetData>
  <mergeCells count="1">
    <mergeCell ref="E7:E3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Serialization_1">
                <anchor moveWithCells="1" sizeWithCells="1">
                  <from>
                    <xdr:col>0</xdr:col>
                    <xdr:colOff>38100</xdr:colOff>
                    <xdr:row>1</xdr:row>
                    <xdr:rowOff>85725</xdr:rowOff>
                  </from>
                  <to>
                    <xdr:col>1</xdr:col>
                    <xdr:colOff>1304925</xdr:colOff>
                    <xdr:row>1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Serialization_2">
                <anchor moveWithCells="1" sizeWithCells="1">
                  <from>
                    <xdr:col>3</xdr:col>
                    <xdr:colOff>47625</xdr:colOff>
                    <xdr:row>1</xdr:row>
                    <xdr:rowOff>85725</xdr:rowOff>
                  </from>
                  <to>
                    <xdr:col>4</xdr:col>
                    <xdr:colOff>1314450</xdr:colOff>
                    <xdr:row>1</xdr:row>
                    <xdr:rowOff>390525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D49"/>
  <sheetViews>
    <sheetView workbookViewId="0"/>
  </sheetViews>
  <sheetFormatPr defaultRowHeight="15" x14ac:dyDescent="0.25"/>
  <cols>
    <col min="1" max="1" width="12.85546875" customWidth="1"/>
    <col min="2" max="2" width="107.85546875" customWidth="1"/>
    <col min="3" max="3" width="2.140625" customWidth="1"/>
  </cols>
  <sheetData>
    <row r="1" spans="1:2" ht="26.25" x14ac:dyDescent="0.4">
      <c r="A1" s="19" t="s">
        <v>59</v>
      </c>
      <c r="B1" s="20"/>
    </row>
    <row r="2" spans="1:2" ht="37.5" customHeight="1" x14ac:dyDescent="0.4">
      <c r="A2" s="19"/>
      <c r="B2" s="20"/>
    </row>
    <row r="3" spans="1:2" ht="15" customHeight="1" x14ac:dyDescent="0.25">
      <c r="A3" s="20" t="s">
        <v>72</v>
      </c>
      <c r="B3" s="20"/>
    </row>
    <row r="4" spans="1:2" ht="15" customHeight="1" x14ac:dyDescent="0.25">
      <c r="A4" s="20" t="s">
        <v>60</v>
      </c>
      <c r="B4" s="20"/>
    </row>
    <row r="5" spans="1:2" ht="15" customHeight="1" x14ac:dyDescent="0.4">
      <c r="A5" s="19"/>
      <c r="B5" s="20"/>
    </row>
    <row r="6" spans="1:2" ht="15.75" thickBot="1" x14ac:dyDescent="0.3"/>
    <row r="7" spans="1:2" x14ac:dyDescent="0.25">
      <c r="A7" t="s">
        <v>2</v>
      </c>
      <c r="B7" s="1" t="s">
        <v>131</v>
      </c>
    </row>
    <row r="8" spans="1:2" x14ac:dyDescent="0.25">
      <c r="B8" s="4"/>
    </row>
    <row r="9" spans="1:2" x14ac:dyDescent="0.25">
      <c r="B9" s="4" t="s">
        <v>58</v>
      </c>
    </row>
    <row r="10" spans="1:2" x14ac:dyDescent="0.25">
      <c r="B10" s="2" t="s">
        <v>37</v>
      </c>
    </row>
    <row r="11" spans="1:2" x14ac:dyDescent="0.25">
      <c r="B11" s="4" t="s">
        <v>194</v>
      </c>
    </row>
    <row r="12" spans="1:2" x14ac:dyDescent="0.25">
      <c r="B12" s="4" t="s">
        <v>161</v>
      </c>
    </row>
    <row r="13" spans="1:2" x14ac:dyDescent="0.25">
      <c r="B13" s="4" t="s">
        <v>4</v>
      </c>
    </row>
    <row r="14" spans="1:2" x14ac:dyDescent="0.25">
      <c r="B14" s="4" t="s">
        <v>195</v>
      </c>
    </row>
    <row r="15" spans="1:2" x14ac:dyDescent="0.25">
      <c r="B15" s="4"/>
    </row>
    <row r="16" spans="1:2" x14ac:dyDescent="0.25">
      <c r="B16" s="4" t="s">
        <v>134</v>
      </c>
    </row>
    <row r="17" spans="2:4" x14ac:dyDescent="0.25">
      <c r="B17" s="4" t="s">
        <v>162</v>
      </c>
    </row>
    <row r="18" spans="2:4" x14ac:dyDescent="0.25">
      <c r="B18" s="4" t="s">
        <v>9</v>
      </c>
    </row>
    <row r="19" spans="2:4" x14ac:dyDescent="0.25">
      <c r="B19" s="4" t="s">
        <v>136</v>
      </c>
    </row>
    <row r="20" spans="2:4" x14ac:dyDescent="0.25">
      <c r="B20" s="4" t="s">
        <v>5</v>
      </c>
    </row>
    <row r="21" spans="2:4" x14ac:dyDescent="0.25">
      <c r="B21" s="4"/>
    </row>
    <row r="22" spans="2:4" x14ac:dyDescent="0.25">
      <c r="B22" s="2" t="s">
        <v>163</v>
      </c>
    </row>
    <row r="23" spans="2:4" x14ac:dyDescent="0.25">
      <c r="B23" s="4" t="s">
        <v>4</v>
      </c>
    </row>
    <row r="24" spans="2:4" x14ac:dyDescent="0.25">
      <c r="B24" s="4" t="s">
        <v>164</v>
      </c>
    </row>
    <row r="25" spans="2:4" x14ac:dyDescent="0.25">
      <c r="B25" s="4" t="s">
        <v>5</v>
      </c>
    </row>
    <row r="26" spans="2:4" x14ac:dyDescent="0.25">
      <c r="B26" s="3"/>
    </row>
    <row r="27" spans="2:4" x14ac:dyDescent="0.25">
      <c r="B27" s="3"/>
    </row>
    <row r="28" spans="2:4" x14ac:dyDescent="0.25">
      <c r="B28" s="3"/>
    </row>
    <row r="29" spans="2:4" x14ac:dyDescent="0.25">
      <c r="B29" s="3"/>
      <c r="D29" s="13"/>
    </row>
    <row r="30" spans="2:4" x14ac:dyDescent="0.25">
      <c r="B30" s="3"/>
    </row>
    <row r="31" spans="2:4" x14ac:dyDescent="0.25">
      <c r="B31" s="3"/>
    </row>
    <row r="32" spans="2:4" ht="15.75" thickBot="1" x14ac:dyDescent="0.3">
      <c r="B32" s="6"/>
    </row>
    <row r="34" spans="1:3" x14ac:dyDescent="0.25">
      <c r="A34" s="16" t="s">
        <v>46</v>
      </c>
      <c r="B34" s="16"/>
    </row>
    <row r="35" spans="1:3" x14ac:dyDescent="0.25">
      <c r="B35" t="s">
        <v>52</v>
      </c>
    </row>
    <row r="38" spans="1:3" x14ac:dyDescent="0.25">
      <c r="A38" s="16" t="s">
        <v>51</v>
      </c>
      <c r="B38" s="16"/>
    </row>
    <row r="39" spans="1:3" x14ac:dyDescent="0.25">
      <c r="B39" t="str">
        <f>_xll.ExcelScript.Parse(B7:B32)</f>
        <v>AnotherPingScript:2</v>
      </c>
    </row>
    <row r="41" spans="1:3" x14ac:dyDescent="0.25">
      <c r="A41" s="16" t="s">
        <v>47</v>
      </c>
      <c r="B41" s="16"/>
    </row>
    <row r="42" spans="1:3" x14ac:dyDescent="0.25">
      <c r="A42" s="21"/>
      <c r="B42" s="21" t="str">
        <f>_xll.AnotherPingScript(B43,B44)</f>
        <v>18.12.2016 18:51:17 - Status: Success (15ms) from 8.8.8.8</v>
      </c>
      <c r="C42" s="21"/>
    </row>
    <row r="43" spans="1:3" x14ac:dyDescent="0.25">
      <c r="A43" s="21" t="s">
        <v>49</v>
      </c>
      <c r="B43" s="21" t="s">
        <v>8</v>
      </c>
      <c r="C43" s="21"/>
    </row>
    <row r="44" spans="1:3" x14ac:dyDescent="0.25">
      <c r="A44" s="21" t="s">
        <v>50</v>
      </c>
      <c r="B44" s="22">
        <v>1000</v>
      </c>
      <c r="C44" s="21"/>
    </row>
    <row r="46" spans="1:3" x14ac:dyDescent="0.25">
      <c r="A46" s="16" t="s">
        <v>57</v>
      </c>
      <c r="B46" s="16"/>
    </row>
    <row r="47" spans="1:3" x14ac:dyDescent="0.25">
      <c r="A47" s="21"/>
      <c r="B47" s="33" t="s">
        <v>193</v>
      </c>
    </row>
    <row r="48" spans="1:3" x14ac:dyDescent="0.25">
      <c r="A48" s="21"/>
      <c r="B48" s="21"/>
    </row>
    <row r="49" spans="1:2" x14ac:dyDescent="0.25">
      <c r="A49" s="21"/>
      <c r="B49" s="21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Registration_1">
                <anchor moveWithCells="1" sizeWithCells="1">
                  <from>
                    <xdr:col>0</xdr:col>
                    <xdr:colOff>38100</xdr:colOff>
                    <xdr:row>1</xdr:row>
                    <xdr:rowOff>85725</xdr:rowOff>
                  </from>
                  <to>
                    <xdr:col>1</xdr:col>
                    <xdr:colOff>1304925</xdr:colOff>
                    <xdr:row>1</xdr:row>
                    <xdr:rowOff>390525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B53"/>
  <sheetViews>
    <sheetView workbookViewId="0"/>
  </sheetViews>
  <sheetFormatPr defaultRowHeight="15" x14ac:dyDescent="0.25"/>
  <cols>
    <col min="1" max="1" width="12.85546875" customWidth="1"/>
    <col min="2" max="2" width="107.85546875" customWidth="1"/>
  </cols>
  <sheetData>
    <row r="1" spans="1:2" ht="26.25" x14ac:dyDescent="0.4">
      <c r="A1" s="19" t="s">
        <v>70</v>
      </c>
      <c r="B1" s="20"/>
    </row>
    <row r="2" spans="1:2" ht="37.5" customHeight="1" x14ac:dyDescent="0.4">
      <c r="A2" s="19"/>
      <c r="B2" s="20"/>
    </row>
    <row r="3" spans="1:2" x14ac:dyDescent="0.25">
      <c r="A3" s="20" t="s">
        <v>63</v>
      </c>
      <c r="B3" s="20"/>
    </row>
    <row r="4" spans="1:2" x14ac:dyDescent="0.25">
      <c r="A4" s="20" t="s">
        <v>64</v>
      </c>
      <c r="B4" s="20"/>
    </row>
    <row r="5" spans="1:2" x14ac:dyDescent="0.25">
      <c r="A5" s="20"/>
      <c r="B5" s="20"/>
    </row>
    <row r="6" spans="1:2" ht="15.75" thickBot="1" x14ac:dyDescent="0.3"/>
    <row r="7" spans="1:2" x14ac:dyDescent="0.25">
      <c r="A7" t="s">
        <v>2</v>
      </c>
      <c r="B7" s="15" t="s">
        <v>166</v>
      </c>
    </row>
    <row r="8" spans="1:2" x14ac:dyDescent="0.25">
      <c r="B8" s="4"/>
    </row>
    <row r="9" spans="1:2" x14ac:dyDescent="0.25">
      <c r="B9" s="2" t="s">
        <v>26</v>
      </c>
    </row>
    <row r="10" spans="1:2" x14ac:dyDescent="0.25">
      <c r="B10" s="4"/>
    </row>
    <row r="11" spans="1:2" x14ac:dyDescent="0.25">
      <c r="B11" s="2" t="s">
        <v>167</v>
      </c>
    </row>
    <row r="12" spans="1:2" x14ac:dyDescent="0.25">
      <c r="B12" s="4" t="s">
        <v>4</v>
      </c>
    </row>
    <row r="13" spans="1:2" x14ac:dyDescent="0.25">
      <c r="B13" s="4" t="s">
        <v>168</v>
      </c>
    </row>
    <row r="14" spans="1:2" x14ac:dyDescent="0.25">
      <c r="B14" s="4" t="s">
        <v>169</v>
      </c>
    </row>
    <row r="15" spans="1:2" x14ac:dyDescent="0.25">
      <c r="B15" s="4" t="s">
        <v>170</v>
      </c>
    </row>
    <row r="16" spans="1:2" x14ac:dyDescent="0.25">
      <c r="B16" s="4"/>
    </row>
    <row r="17" spans="2:2" x14ac:dyDescent="0.25">
      <c r="B17" s="4" t="s">
        <v>171</v>
      </c>
    </row>
    <row r="18" spans="2:2" x14ac:dyDescent="0.25">
      <c r="B18" s="4" t="s">
        <v>172</v>
      </c>
    </row>
    <row r="19" spans="2:2" x14ac:dyDescent="0.25">
      <c r="B19" s="4"/>
    </row>
    <row r="20" spans="2:2" x14ac:dyDescent="0.25">
      <c r="B20" s="4" t="s">
        <v>173</v>
      </c>
    </row>
    <row r="21" spans="2:2" x14ac:dyDescent="0.25">
      <c r="B21" s="4" t="s">
        <v>174</v>
      </c>
    </row>
    <row r="22" spans="2:2" x14ac:dyDescent="0.25">
      <c r="B22" s="4"/>
    </row>
    <row r="23" spans="2:2" x14ac:dyDescent="0.25">
      <c r="B23" s="4" t="s">
        <v>175</v>
      </c>
    </row>
    <row r="24" spans="2:2" x14ac:dyDescent="0.25">
      <c r="B24" s="4" t="s">
        <v>176</v>
      </c>
    </row>
    <row r="25" spans="2:2" x14ac:dyDescent="0.25">
      <c r="B25" s="4" t="s">
        <v>24</v>
      </c>
    </row>
    <row r="26" spans="2:2" x14ac:dyDescent="0.25">
      <c r="B26" s="4"/>
    </row>
    <row r="27" spans="2:2" x14ac:dyDescent="0.25">
      <c r="B27" s="4" t="s">
        <v>25</v>
      </c>
    </row>
    <row r="28" spans="2:2" x14ac:dyDescent="0.25">
      <c r="B28" s="4" t="s">
        <v>27</v>
      </c>
    </row>
    <row r="29" spans="2:2" x14ac:dyDescent="0.25">
      <c r="B29" s="4"/>
    </row>
    <row r="30" spans="2:2" x14ac:dyDescent="0.25">
      <c r="B30" s="4" t="s">
        <v>23</v>
      </c>
    </row>
    <row r="31" spans="2:2" x14ac:dyDescent="0.25">
      <c r="B31" s="4" t="s">
        <v>5</v>
      </c>
    </row>
    <row r="32" spans="2:2" x14ac:dyDescent="0.25">
      <c r="B32" s="4"/>
    </row>
    <row r="33" spans="1:2" x14ac:dyDescent="0.25">
      <c r="B33" s="4" t="s">
        <v>58</v>
      </c>
    </row>
    <row r="34" spans="1:2" x14ac:dyDescent="0.25">
      <c r="B34" s="2" t="s">
        <v>61</v>
      </c>
    </row>
    <row r="35" spans="1:2" x14ac:dyDescent="0.25">
      <c r="B35" s="4" t="s">
        <v>4</v>
      </c>
    </row>
    <row r="36" spans="1:2" x14ac:dyDescent="0.25">
      <c r="B36" s="4" t="s">
        <v>62</v>
      </c>
    </row>
    <row r="37" spans="1:2" x14ac:dyDescent="0.25">
      <c r="B37" s="4" t="s">
        <v>177</v>
      </c>
    </row>
    <row r="38" spans="1:2" x14ac:dyDescent="0.25">
      <c r="B38" s="4" t="s">
        <v>5</v>
      </c>
    </row>
    <row r="39" spans="1:2" x14ac:dyDescent="0.25">
      <c r="B39" s="2"/>
    </row>
    <row r="40" spans="1:2" x14ac:dyDescent="0.25">
      <c r="B40" s="4"/>
    </row>
    <row r="41" spans="1:2" ht="15.75" thickBot="1" x14ac:dyDescent="0.3">
      <c r="B41" s="14"/>
    </row>
    <row r="43" spans="1:2" x14ac:dyDescent="0.25">
      <c r="A43" s="16" t="s">
        <v>46</v>
      </c>
      <c r="B43" s="16"/>
    </row>
    <row r="44" spans="1:2" x14ac:dyDescent="0.25">
      <c r="B44" t="s">
        <v>91</v>
      </c>
    </row>
    <row r="47" spans="1:2" x14ac:dyDescent="0.25">
      <c r="A47" s="16" t="s">
        <v>51</v>
      </c>
      <c r="B47" s="16"/>
    </row>
    <row r="48" spans="1:2" x14ac:dyDescent="0.25">
      <c r="B48" s="18" t="str">
        <f>_xll.ExcelScript.Parse(B7:B41)</f>
        <v>ShowWinFormsWindow:1</v>
      </c>
    </row>
    <row r="50" spans="1:2" x14ac:dyDescent="0.25">
      <c r="A50" s="16" t="s">
        <v>47</v>
      </c>
      <c r="B50" s="16"/>
    </row>
    <row r="51" spans="1:2" x14ac:dyDescent="0.25">
      <c r="A51" s="21"/>
      <c r="B51" s="21" t="str">
        <f>_xll.ExcelScript.Run(B48)</f>
        <v>User entered: Enter something in here</v>
      </c>
    </row>
    <row r="52" spans="1:2" x14ac:dyDescent="0.25">
      <c r="A52" s="21"/>
      <c r="B52" s="21"/>
    </row>
    <row r="53" spans="1:2" x14ac:dyDescent="0.25">
      <c r="A53" s="21"/>
      <c r="B53" s="2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GUI_WinForms_1">
                <anchor moveWithCells="1" sizeWithCells="1">
                  <from>
                    <xdr:col>0</xdr:col>
                    <xdr:colOff>38100</xdr:colOff>
                    <xdr:row>1</xdr:row>
                    <xdr:rowOff>85725</xdr:rowOff>
                  </from>
                  <to>
                    <xdr:col>1</xdr:col>
                    <xdr:colOff>1304925</xdr:colOff>
                    <xdr:row>1</xdr:row>
                    <xdr:rowOff>390525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B53"/>
  <sheetViews>
    <sheetView workbookViewId="0"/>
  </sheetViews>
  <sheetFormatPr defaultRowHeight="15" x14ac:dyDescent="0.25"/>
  <cols>
    <col min="1" max="1" width="12.85546875" customWidth="1"/>
    <col min="2" max="2" width="107.85546875" customWidth="1"/>
  </cols>
  <sheetData>
    <row r="1" spans="1:2" ht="26.25" x14ac:dyDescent="0.4">
      <c r="A1" s="19" t="s">
        <v>22</v>
      </c>
      <c r="B1" s="20"/>
    </row>
    <row r="2" spans="1:2" ht="37.5" customHeight="1" x14ac:dyDescent="0.4">
      <c r="A2" s="19"/>
      <c r="B2" s="20"/>
    </row>
    <row r="3" spans="1:2" ht="15" customHeight="1" x14ac:dyDescent="0.25">
      <c r="A3" s="20" t="s">
        <v>76</v>
      </c>
      <c r="B3" s="20"/>
    </row>
    <row r="4" spans="1:2" ht="15" customHeight="1" x14ac:dyDescent="0.25">
      <c r="A4" s="20" t="s">
        <v>77</v>
      </c>
      <c r="B4" s="20"/>
    </row>
    <row r="5" spans="1:2" ht="15" customHeight="1" x14ac:dyDescent="0.25">
      <c r="A5" s="20" t="s">
        <v>78</v>
      </c>
      <c r="B5" s="20"/>
    </row>
    <row r="6" spans="1:2" ht="15.75" thickBot="1" x14ac:dyDescent="0.3"/>
    <row r="7" spans="1:2" x14ac:dyDescent="0.25">
      <c r="A7" t="s">
        <v>2</v>
      </c>
      <c r="B7" s="15" t="s">
        <v>178</v>
      </c>
    </row>
    <row r="8" spans="1:2" x14ac:dyDescent="0.25">
      <c r="B8" s="4" t="s">
        <v>179</v>
      </c>
    </row>
    <row r="9" spans="1:2" x14ac:dyDescent="0.25">
      <c r="B9" s="4" t="s">
        <v>180</v>
      </c>
    </row>
    <row r="10" spans="1:2" x14ac:dyDescent="0.25">
      <c r="B10" s="4"/>
    </row>
    <row r="11" spans="1:2" x14ac:dyDescent="0.25">
      <c r="B11" s="2" t="s">
        <v>114</v>
      </c>
    </row>
    <row r="12" spans="1:2" x14ac:dyDescent="0.25">
      <c r="B12" s="2" t="s">
        <v>181</v>
      </c>
    </row>
    <row r="13" spans="1:2" x14ac:dyDescent="0.25">
      <c r="B13" s="2" t="s">
        <v>182</v>
      </c>
    </row>
    <row r="14" spans="1:2" x14ac:dyDescent="0.25">
      <c r="B14" s="2" t="s">
        <v>139</v>
      </c>
    </row>
    <row r="15" spans="1:2" x14ac:dyDescent="0.25">
      <c r="B15" s="4"/>
    </row>
    <row r="16" spans="1:2" x14ac:dyDescent="0.25">
      <c r="B16" s="2" t="s">
        <v>183</v>
      </c>
    </row>
    <row r="17" spans="2:2" x14ac:dyDescent="0.25">
      <c r="B17" s="4" t="s">
        <v>4</v>
      </c>
    </row>
    <row r="18" spans="2:2" x14ac:dyDescent="0.25">
      <c r="B18" s="4" t="s">
        <v>184</v>
      </c>
    </row>
    <row r="19" spans="2:2" x14ac:dyDescent="0.25">
      <c r="B19" s="4" t="s">
        <v>185</v>
      </c>
    </row>
    <row r="20" spans="2:2" x14ac:dyDescent="0.25">
      <c r="B20" s="4" t="s">
        <v>5</v>
      </c>
    </row>
    <row r="21" spans="2:2" x14ac:dyDescent="0.25">
      <c r="B21" s="4"/>
    </row>
    <row r="22" spans="2:2" x14ac:dyDescent="0.25">
      <c r="B22" s="2" t="s">
        <v>186</v>
      </c>
    </row>
    <row r="23" spans="2:2" x14ac:dyDescent="0.25">
      <c r="B23" s="4" t="s">
        <v>4</v>
      </c>
    </row>
    <row r="24" spans="2:2" x14ac:dyDescent="0.25">
      <c r="B24" s="4" t="s">
        <v>187</v>
      </c>
    </row>
    <row r="25" spans="2:2" x14ac:dyDescent="0.25">
      <c r="B25" s="4" t="s">
        <v>16</v>
      </c>
    </row>
    <row r="26" spans="2:2" x14ac:dyDescent="0.25">
      <c r="B26" s="4" t="s">
        <v>17</v>
      </c>
    </row>
    <row r="27" spans="2:2" x14ac:dyDescent="0.25">
      <c r="B27" s="4" t="s">
        <v>28</v>
      </c>
    </row>
    <row r="28" spans="2:2" x14ac:dyDescent="0.25">
      <c r="B28" s="4" t="s">
        <v>18</v>
      </c>
    </row>
    <row r="29" spans="2:2" x14ac:dyDescent="0.25">
      <c r="B29" s="4" t="s">
        <v>19</v>
      </c>
    </row>
    <row r="30" spans="2:2" x14ac:dyDescent="0.25">
      <c r="B30" s="4" t="s">
        <v>20</v>
      </c>
    </row>
    <row r="31" spans="2:2" x14ac:dyDescent="0.25">
      <c r="B31" s="4" t="s">
        <v>21</v>
      </c>
    </row>
    <row r="32" spans="2:2" x14ac:dyDescent="0.25">
      <c r="B32" s="4"/>
    </row>
    <row r="33" spans="1:2" x14ac:dyDescent="0.25">
      <c r="B33" s="4" t="s">
        <v>188</v>
      </c>
    </row>
    <row r="34" spans="1:2" x14ac:dyDescent="0.25">
      <c r="B34" s="4" t="s">
        <v>169</v>
      </c>
    </row>
    <row r="35" spans="1:2" x14ac:dyDescent="0.25">
      <c r="B35" s="4" t="s">
        <v>189</v>
      </c>
    </row>
    <row r="36" spans="1:2" x14ac:dyDescent="0.25">
      <c r="B36" s="4" t="s">
        <v>190</v>
      </c>
    </row>
    <row r="37" spans="1:2" x14ac:dyDescent="0.25">
      <c r="B37" s="4" t="s">
        <v>23</v>
      </c>
    </row>
    <row r="38" spans="1:2" x14ac:dyDescent="0.25">
      <c r="B38" s="4"/>
    </row>
    <row r="39" spans="1:2" x14ac:dyDescent="0.25">
      <c r="B39" s="4" t="s">
        <v>191</v>
      </c>
    </row>
    <row r="40" spans="1:2" x14ac:dyDescent="0.25">
      <c r="B40" s="4" t="s">
        <v>5</v>
      </c>
    </row>
    <row r="41" spans="1:2" ht="15.75" thickBot="1" x14ac:dyDescent="0.3">
      <c r="B41" s="14"/>
    </row>
    <row r="43" spans="1:2" x14ac:dyDescent="0.25">
      <c r="A43" s="16" t="s">
        <v>46</v>
      </c>
      <c r="B43" s="16"/>
    </row>
    <row r="44" spans="1:2" x14ac:dyDescent="0.25">
      <c r="B44" t="s">
        <v>91</v>
      </c>
    </row>
    <row r="47" spans="1:2" x14ac:dyDescent="0.25">
      <c r="A47" s="16" t="s">
        <v>51</v>
      </c>
      <c r="B47" s="16"/>
    </row>
    <row r="48" spans="1:2" x14ac:dyDescent="0.25">
      <c r="B48" s="18" t="str">
        <f>_xll.ExcelScript.Parse(B7:B41)</f>
        <v>ShowWpfWindow:1</v>
      </c>
    </row>
    <row r="50" spans="1:2" x14ac:dyDescent="0.25">
      <c r="A50" s="16" t="s">
        <v>47</v>
      </c>
      <c r="B50" s="16"/>
    </row>
    <row r="51" spans="1:2" x14ac:dyDescent="0.25">
      <c r="A51" s="21"/>
      <c r="B51" s="21" t="str">
        <f>_xll.ExcelScript.Run(B48)</f>
        <v>ok</v>
      </c>
    </row>
    <row r="52" spans="1:2" x14ac:dyDescent="0.25">
      <c r="A52" s="21"/>
      <c r="B52" s="21"/>
    </row>
    <row r="53" spans="1:2" x14ac:dyDescent="0.25">
      <c r="A53" s="21"/>
      <c r="B53" s="21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GUI_WPF_1">
                <anchor moveWithCells="1" sizeWithCells="1">
                  <from>
                    <xdr:col>0</xdr:col>
                    <xdr:colOff>38100</xdr:colOff>
                    <xdr:row>1</xdr:row>
                    <xdr:rowOff>85725</xdr:rowOff>
                  </from>
                  <to>
                    <xdr:col>1</xdr:col>
                    <xdr:colOff>1304925</xdr:colOff>
                    <xdr:row>1</xdr:row>
                    <xdr:rowOff>390525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B43"/>
  <sheetViews>
    <sheetView workbookViewId="0"/>
  </sheetViews>
  <sheetFormatPr defaultRowHeight="15" x14ac:dyDescent="0.25"/>
  <cols>
    <col min="1" max="1" width="12.85546875" customWidth="1"/>
    <col min="2" max="2" width="107.85546875" customWidth="1"/>
  </cols>
  <sheetData>
    <row r="1" spans="1:2" ht="26.25" x14ac:dyDescent="0.4">
      <c r="A1" s="19" t="s">
        <v>79</v>
      </c>
      <c r="B1" s="20"/>
    </row>
    <row r="2" spans="1:2" ht="37.5" customHeight="1" x14ac:dyDescent="0.4">
      <c r="A2" s="19"/>
      <c r="B2" s="20"/>
    </row>
    <row r="3" spans="1:2" ht="15" customHeight="1" x14ac:dyDescent="0.25">
      <c r="A3" s="20" t="s">
        <v>80</v>
      </c>
      <c r="B3" s="20"/>
    </row>
    <row r="4" spans="1:2" ht="15" customHeight="1" x14ac:dyDescent="0.25">
      <c r="A4" s="20" t="s">
        <v>83</v>
      </c>
      <c r="B4" s="20"/>
    </row>
    <row r="5" spans="1:2" ht="15" customHeight="1" x14ac:dyDescent="0.25">
      <c r="A5" s="20" t="s">
        <v>84</v>
      </c>
      <c r="B5" s="20"/>
    </row>
    <row r="6" spans="1:2" ht="15.75" thickBot="1" x14ac:dyDescent="0.3"/>
    <row r="7" spans="1:2" x14ac:dyDescent="0.25">
      <c r="A7" t="s">
        <v>2</v>
      </c>
      <c r="B7" s="28" t="s">
        <v>81</v>
      </c>
    </row>
    <row r="8" spans="1:2" x14ac:dyDescent="0.25">
      <c r="B8" s="29"/>
    </row>
    <row r="9" spans="1:2" x14ac:dyDescent="0.25">
      <c r="B9" s="29" t="s">
        <v>88</v>
      </c>
    </row>
    <row r="10" spans="1:2" x14ac:dyDescent="0.25">
      <c r="B10" s="29" t="s">
        <v>89</v>
      </c>
    </row>
    <row r="11" spans="1:2" x14ac:dyDescent="0.25">
      <c r="B11" s="29" t="s">
        <v>85</v>
      </c>
    </row>
    <row r="12" spans="1:2" x14ac:dyDescent="0.25">
      <c r="B12" s="29" t="s">
        <v>90</v>
      </c>
    </row>
    <row r="13" spans="1:2" x14ac:dyDescent="0.25">
      <c r="B13" s="29" t="s">
        <v>86</v>
      </c>
    </row>
    <row r="14" spans="1:2" x14ac:dyDescent="0.25">
      <c r="B14" s="29" t="s">
        <v>92</v>
      </c>
    </row>
    <row r="15" spans="1:2" x14ac:dyDescent="0.25">
      <c r="B15" s="29"/>
    </row>
    <row r="16" spans="1:2" x14ac:dyDescent="0.25">
      <c r="B16" s="29"/>
    </row>
    <row r="17" spans="2:2" x14ac:dyDescent="0.25">
      <c r="B17" s="29"/>
    </row>
    <row r="18" spans="2:2" x14ac:dyDescent="0.25">
      <c r="B18" s="29"/>
    </row>
    <row r="19" spans="2:2" x14ac:dyDescent="0.25">
      <c r="B19" s="29"/>
    </row>
    <row r="20" spans="2:2" x14ac:dyDescent="0.25">
      <c r="B20" s="29"/>
    </row>
    <row r="21" spans="2:2" x14ac:dyDescent="0.25">
      <c r="B21" s="29"/>
    </row>
    <row r="22" spans="2:2" x14ac:dyDescent="0.25">
      <c r="B22" s="29"/>
    </row>
    <row r="23" spans="2:2" x14ac:dyDescent="0.25">
      <c r="B23" s="29"/>
    </row>
    <row r="24" spans="2:2" x14ac:dyDescent="0.25">
      <c r="B24" s="29"/>
    </row>
    <row r="25" spans="2:2" x14ac:dyDescent="0.25">
      <c r="B25" s="29"/>
    </row>
    <row r="26" spans="2:2" x14ac:dyDescent="0.25">
      <c r="B26" s="29"/>
    </row>
    <row r="27" spans="2:2" x14ac:dyDescent="0.25">
      <c r="B27" s="29"/>
    </row>
    <row r="28" spans="2:2" x14ac:dyDescent="0.25">
      <c r="B28" s="29"/>
    </row>
    <row r="29" spans="2:2" x14ac:dyDescent="0.25">
      <c r="B29" s="29"/>
    </row>
    <row r="30" spans="2:2" x14ac:dyDescent="0.25">
      <c r="B30" s="29"/>
    </row>
    <row r="31" spans="2:2" x14ac:dyDescent="0.25">
      <c r="B31" s="29"/>
    </row>
    <row r="32" spans="2:2" ht="15.75" thickBot="1" x14ac:dyDescent="0.3">
      <c r="B32" s="30"/>
    </row>
    <row r="33" spans="1:2" x14ac:dyDescent="0.25">
      <c r="B33" s="31"/>
    </row>
    <row r="34" spans="1:2" x14ac:dyDescent="0.25">
      <c r="A34" s="16" t="s">
        <v>46</v>
      </c>
      <c r="B34" s="16"/>
    </row>
    <row r="35" spans="1:2" x14ac:dyDescent="0.25">
      <c r="B35" t="s">
        <v>91</v>
      </c>
    </row>
    <row r="38" spans="1:2" x14ac:dyDescent="0.25">
      <c r="A38" s="16" t="s">
        <v>51</v>
      </c>
      <c r="B38" s="16"/>
    </row>
    <row r="39" spans="1:2" x14ac:dyDescent="0.25">
      <c r="B39" t="s">
        <v>91</v>
      </c>
    </row>
    <row r="41" spans="1:2" x14ac:dyDescent="0.25">
      <c r="A41" s="16" t="s">
        <v>82</v>
      </c>
      <c r="B41" s="16"/>
    </row>
    <row r="42" spans="1:2" x14ac:dyDescent="0.25">
      <c r="B42" s="18" t="str">
        <f>IF(B43,_xll.ExcelScript.FormatCode(B7:B32),"Currently not executing")</f>
        <v>Currently not executing</v>
      </c>
    </row>
    <row r="43" spans="1:2" x14ac:dyDescent="0.25">
      <c r="A43" t="s">
        <v>87</v>
      </c>
      <c r="B43" s="32" t="b"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FormatCode_1">
                <anchor moveWithCells="1" sizeWithCells="1">
                  <from>
                    <xdr:col>0</xdr:col>
                    <xdr:colOff>38100</xdr:colOff>
                    <xdr:row>1</xdr:row>
                    <xdr:rowOff>85725</xdr:rowOff>
                  </from>
                  <to>
                    <xdr:col>1</xdr:col>
                    <xdr:colOff>1304925</xdr:colOff>
                    <xdr:row>1</xdr:row>
                    <xdr:rowOff>390525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F14"/>
  <sheetViews>
    <sheetView workbookViewId="0"/>
  </sheetViews>
  <sheetFormatPr defaultRowHeight="15" x14ac:dyDescent="0.25"/>
  <cols>
    <col min="1" max="1" width="12.85546875" customWidth="1"/>
    <col min="2" max="2" width="35.7109375" customWidth="1"/>
    <col min="3" max="6" width="42.85546875" customWidth="1"/>
  </cols>
  <sheetData>
    <row r="1" spans="1:6" ht="26.25" x14ac:dyDescent="0.4">
      <c r="A1" s="19" t="s">
        <v>41</v>
      </c>
      <c r="B1" s="20"/>
      <c r="C1" s="20"/>
      <c r="D1" s="20"/>
      <c r="E1" s="20"/>
      <c r="F1" s="20"/>
    </row>
    <row r="2" spans="1:6" ht="37.5" customHeight="1" x14ac:dyDescent="0.4">
      <c r="A2" s="19"/>
      <c r="B2" s="20"/>
      <c r="C2" s="20"/>
      <c r="D2" s="20"/>
      <c r="E2" s="20"/>
      <c r="F2" s="20"/>
    </row>
    <row r="3" spans="1:6" x14ac:dyDescent="0.25">
      <c r="A3" s="20" t="s">
        <v>67</v>
      </c>
      <c r="B3" s="20"/>
      <c r="C3" s="20"/>
      <c r="D3" s="20"/>
      <c r="E3" s="20"/>
      <c r="F3" s="20"/>
    </row>
    <row r="4" spans="1:6" x14ac:dyDescent="0.25">
      <c r="A4" s="20" t="s">
        <v>69</v>
      </c>
      <c r="B4" s="20"/>
      <c r="C4" s="20"/>
      <c r="D4" s="20"/>
      <c r="E4" s="20"/>
      <c r="F4" s="20"/>
    </row>
    <row r="5" spans="1:6" x14ac:dyDescent="0.25">
      <c r="A5" s="20" t="s">
        <v>68</v>
      </c>
      <c r="B5" s="20"/>
      <c r="C5" s="20"/>
      <c r="D5" s="20"/>
      <c r="E5" s="20"/>
      <c r="F5" s="20"/>
    </row>
    <row r="6" spans="1:6" ht="15.75" thickBot="1" x14ac:dyDescent="0.3"/>
    <row r="7" spans="1:6" ht="24" customHeight="1" thickBot="1" x14ac:dyDescent="0.3">
      <c r="A7" s="5" t="s">
        <v>0</v>
      </c>
      <c r="B7" s="45" t="s">
        <v>192</v>
      </c>
      <c r="C7" s="46"/>
      <c r="D7" s="46"/>
      <c r="E7" s="46"/>
      <c r="F7" s="47"/>
    </row>
    <row r="9" spans="1:6" x14ac:dyDescent="0.25">
      <c r="A9" t="s">
        <v>38</v>
      </c>
      <c r="B9" s="24" t="s">
        <v>12</v>
      </c>
      <c r="C9" s="24" t="s">
        <v>14</v>
      </c>
      <c r="D9" s="24" t="s">
        <v>14</v>
      </c>
      <c r="E9" s="24" t="s">
        <v>15</v>
      </c>
      <c r="F9" s="24" t="s">
        <v>15</v>
      </c>
    </row>
    <row r="10" spans="1:6" x14ac:dyDescent="0.25">
      <c r="B10" s="25"/>
      <c r="C10" s="25"/>
      <c r="D10" s="25"/>
      <c r="E10" s="25"/>
      <c r="F10" s="25"/>
    </row>
    <row r="11" spans="1:6" x14ac:dyDescent="0.25">
      <c r="A11" t="s">
        <v>13</v>
      </c>
      <c r="B11" s="27" t="str">
        <f>_xll.ExcelScript.Options.Create("Options"&amp;COLUMN()&amp;"_"&amp;B9,,B9)</f>
        <v>Options2_global:1</v>
      </c>
      <c r="C11" s="27" t="str">
        <f>_xll.ExcelScript.Options.Create("Options"&amp;COLUMN()&amp;"_"&amp;C9,,C9)</f>
        <v>Options3_shared:1</v>
      </c>
      <c r="D11" s="27" t="str">
        <f>_xll.ExcelScript.Options.Create("Options"&amp;COLUMN()&amp;"_"&amp;D9,,D9)</f>
        <v>Options4_shared:1</v>
      </c>
      <c r="E11" s="27" t="str">
        <f>_xll.ExcelScript.Options.Create("Options"&amp;COLUMN()&amp;"_"&amp;E9,,E9)</f>
        <v>Options5_individual:1</v>
      </c>
      <c r="F11" s="27" t="str">
        <f>_xll.ExcelScript.Options.Create("Options"&amp;COLUMN()&amp;"_"&amp;F9,,F9)</f>
        <v>Options6_individual:1</v>
      </c>
    </row>
    <row r="12" spans="1:6" x14ac:dyDescent="0.25">
      <c r="A12" t="s">
        <v>10</v>
      </c>
      <c r="B12" s="27" t="str">
        <f>_xll.ExcelScript.Create("AppDomainScript"&amp;COLUMN(),$B$7,B11)</f>
        <v>AppDomainScript2:1</v>
      </c>
      <c r="C12" s="27" t="str">
        <f>_xll.ExcelScript.Create("AppDomainScript"&amp;COLUMN(),$B$7,C11)</f>
        <v>AppDomainScript3:1</v>
      </c>
      <c r="D12" s="27" t="str">
        <f>_xll.ExcelScript.Create("AppDomainScript"&amp;COLUMN(),$B$7,D11)</f>
        <v>AppDomainScript4:1</v>
      </c>
      <c r="E12" s="27" t="str">
        <f>_xll.ExcelScript.Create("AppDomainScript"&amp;COLUMN(),$B$7,E11)</f>
        <v>AppDomainScript5:1</v>
      </c>
      <c r="F12" s="27" t="str">
        <f>_xll.ExcelScript.Create("AppDomainScript"&amp;COLUMN(),$B$7,F11)</f>
        <v>AppDomainScript6:1</v>
      </c>
    </row>
    <row r="13" spans="1:6" x14ac:dyDescent="0.25">
      <c r="B13" s="27"/>
      <c r="C13" s="27"/>
      <c r="D13" s="27"/>
      <c r="E13" s="27"/>
      <c r="F13" s="27"/>
    </row>
    <row r="14" spans="1:6" ht="120" x14ac:dyDescent="0.25">
      <c r="A14" s="17" t="s">
        <v>3</v>
      </c>
      <c r="B14" s="26" t="str">
        <f>_xll.ExcelScript.Run(B12)</f>
        <v>This script runs in AppDomain: 3 (Name:FullTrustSandbox(Excel-DNA: C:\Users\fmehm\Documents\Visual Studio 2015\Projects\ExcelScript\ExcelScript\bin\Debug\ExcelScript-AddIn64.xll)_x000D_
Keine Kontextrichtlinien vorhanden._x000D_
), Thread 1</v>
      </c>
      <c r="C14" s="26" t="str">
        <f>_xll.ExcelScript.Run(C12)</f>
        <v>This script runs in AppDomain: 4 (Name:SharedSandbox_x000D_
Keine Kontextrichtlinien vorhanden._x000D_
), Thread 1</v>
      </c>
      <c r="D14" s="26" t="str">
        <f>_xll.ExcelScript.Run(D12)</f>
        <v>This script runs in AppDomain: 4 (Name:SharedSandbox_x000D_
Keine Kontextrichtlinien vorhanden._x000D_
), Thread 1</v>
      </c>
      <c r="E14" s="26" t="str">
        <f>_xll.ExcelScript.Run(E12)</f>
        <v>This script runs in AppDomain: 5 (Name:IndividualSandbox1_x000D_
Keine Kontextrichtlinien vorhanden._x000D_
), Thread 1</v>
      </c>
      <c r="F14" s="26" t="str">
        <f>_xll.ExcelScript.Run(F12)</f>
        <v>This script runs in AppDomain: 6 (Name:IndividualSandbox2_x000D_
Keine Kontextrichtlinien vorhanden._x000D_
), Thread 1</v>
      </c>
    </row>
  </sheetData>
  <mergeCells count="1">
    <mergeCell ref="B7:F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Hosting_1">
                <anchor moveWithCells="1" sizeWithCells="1">
                  <from>
                    <xdr:col>0</xdr:col>
                    <xdr:colOff>38100</xdr:colOff>
                    <xdr:row>1</xdr:row>
                    <xdr:rowOff>85725</xdr:rowOff>
                  </from>
                  <to>
                    <xdr:col>1</xdr:col>
                    <xdr:colOff>1304925</xdr:colOff>
                    <xdr:row>1</xdr:row>
                    <xdr:rowOff>390525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Eval</vt:lpstr>
      <vt:lpstr>Create and Run</vt:lpstr>
      <vt:lpstr>Parse</vt:lpstr>
      <vt:lpstr>Serialization</vt:lpstr>
      <vt:lpstr>Registration</vt:lpstr>
      <vt:lpstr>GUI - WinForms</vt:lpstr>
      <vt:lpstr>GUI - WPF</vt:lpstr>
      <vt:lpstr>Format Code</vt:lpstr>
      <vt:lpstr>ScriptOptions - Hosting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Fabian M.</dc:creator>
  <cp:lastModifiedBy>Fabian M.</cp:lastModifiedBy>
  <dcterms:created xsi:type="dcterms:W3CDTF">2016-12-07T22:22:23Z</dcterms:created>
  <dcterms:modified xsi:type="dcterms:W3CDTF">2016-12-18T18:33:33Z</dcterms:modified>
</cp:coreProperties>
</file>